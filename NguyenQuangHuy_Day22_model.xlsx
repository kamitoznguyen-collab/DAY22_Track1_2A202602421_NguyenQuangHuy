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AY22_Track1_2A202602421_NguyenQuangHuy\"/>
    </mc:Choice>
  </mc:AlternateContent>
  <xr:revisionPtr revIDLastSave="0" documentId="13_ncr:1_{2B8CE051-A18B-49E4-B627-B1F56A01DA4F}" xr6:coauthVersionLast="47" xr6:coauthVersionMax="47" xr10:uidLastSave="{00000000-0000-0000-0000-000000000000}"/>
  <bookViews>
    <workbookView xWindow="156" yWindow="480" windowWidth="22884" windowHeight="10248" xr2:uid="{00000000-000D-0000-FFFF-FFFF00000000}"/>
  </bookViews>
  <sheets>
    <sheet name="0_README" sheetId="1" r:id="rId1"/>
    <sheet name="1_Cost_Job" sheetId="2" r:id="rId2"/>
    <sheet name="2_Pricing" sheetId="3" r:id="rId3"/>
    <sheet name="3_Value_Metric" sheetId="4" r:id="rId4"/>
    <sheet name="4_Channel_Fit" sheetId="5" r:id="rId5"/>
    <sheet name="5_90Day_Plan" sheetId="6" r:id="rId6"/>
    <sheet name="6_Benchmar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KwEhlasxMe7vWEpxBJ5CpOqhFT2CjP20aOpe6/N7oiA="/>
    </ext>
  </extLst>
</workbook>
</file>

<file path=xl/calcChain.xml><?xml version="1.0" encoding="utf-8"?>
<calcChain xmlns="http://schemas.openxmlformats.org/spreadsheetml/2006/main">
  <c r="D34" i="5" l="1"/>
  <c r="C34" i="5"/>
  <c r="B34" i="5"/>
  <c r="B22" i="5"/>
  <c r="B10" i="5"/>
  <c r="B15" i="5" s="1"/>
  <c r="B16" i="5" s="1"/>
  <c r="B17" i="5" s="1"/>
  <c r="B8" i="5"/>
  <c r="B18" i="4"/>
  <c r="B10" i="4"/>
  <c r="B51" i="3"/>
  <c r="B34" i="3"/>
  <c r="B31" i="3"/>
  <c r="B30" i="3"/>
  <c r="B16" i="3"/>
  <c r="B15" i="3"/>
  <c r="B13" i="3"/>
  <c r="B12" i="3"/>
  <c r="B77" i="2"/>
  <c r="B64" i="2"/>
  <c r="B54" i="2"/>
  <c r="B43" i="2"/>
  <c r="B74" i="2" s="1"/>
  <c r="B38" i="2"/>
  <c r="B73" i="2" s="1"/>
  <c r="B26" i="2"/>
  <c r="B28" i="2" s="1"/>
  <c r="B25" i="2"/>
  <c r="B24" i="2"/>
  <c r="B23" i="2"/>
  <c r="B11" i="2"/>
  <c r="B12" i="2" s="1"/>
  <c r="B55" i="2" s="1"/>
  <c r="B35" i="5" l="1"/>
  <c r="B21" i="4"/>
  <c r="B27" i="2"/>
  <c r="B31" i="2" s="1"/>
  <c r="B47" i="2" s="1"/>
  <c r="B56" i="2"/>
  <c r="B63" i="2" s="1"/>
  <c r="B76" i="2" l="1"/>
  <c r="B72" i="2"/>
  <c r="B29" i="2"/>
  <c r="B75" i="2"/>
  <c r="B29" i="3"/>
  <c r="B42" i="3" s="1"/>
  <c r="C42" i="3" s="1"/>
  <c r="D42" i="3" s="1"/>
  <c r="B62" i="2"/>
  <c r="B65" i="2" s="1"/>
  <c r="C73" i="2" s="1"/>
  <c r="B33" i="3" l="1"/>
  <c r="B39" i="3"/>
  <c r="C39" i="3" s="1"/>
  <c r="D39" i="3" s="1"/>
  <c r="B66" i="2"/>
  <c r="B5" i="3" s="1"/>
  <c r="B7" i="3" s="1"/>
  <c r="B43" i="3"/>
  <c r="C43" i="3" s="1"/>
  <c r="D43" i="3" s="1"/>
  <c r="B67" i="2"/>
  <c r="C76" i="2"/>
  <c r="C74" i="2"/>
  <c r="B40" i="3"/>
  <c r="C40" i="3" s="1"/>
  <c r="D40" i="3" s="1"/>
  <c r="C75" i="2"/>
  <c r="C77" i="2"/>
  <c r="C72" i="2"/>
  <c r="B44" i="3"/>
  <c r="C44" i="3" s="1"/>
  <c r="D44" i="3" s="1"/>
  <c r="B41" i="3"/>
  <c r="C41" i="3" s="1"/>
  <c r="D41" i="3" s="1"/>
  <c r="B53" i="3"/>
  <c r="B35" i="3"/>
  <c r="B21" i="3" l="1"/>
  <c r="B52" i="3" s="1"/>
  <c r="B20" i="3"/>
  <c r="B22" i="3" s="1"/>
  <c r="B69" i="2"/>
  <c r="B49" i="3"/>
  <c r="B50" i="3"/>
  <c r="B25" i="3"/>
  <c r="B6" i="5" l="1"/>
  <c r="B9" i="5" s="1"/>
  <c r="B23" i="5" s="1"/>
  <c r="B24" i="5" s="1"/>
  <c r="B23" i="3"/>
  <c r="B2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00000000-0006-0000-0100-000001000000}">
      <text>
        <r>
          <rPr>
            <sz val="11"/>
            <color theme="1"/>
            <rFont val="Calibri"/>
            <scheme val="minor"/>
          </rPr>
          <t>======
ID#AAACIQEOV6c
Unknown Author    (2026-10-08 02:20:56)
Ví dụ mẫu đang điền sẵn — thay bằng sản phẩm của bạn.</t>
        </r>
      </text>
    </comment>
  </commentList>
  <extLst>
    <ext xmlns:r="http://schemas.openxmlformats.org/officeDocument/2006/relationships" uri="GoogleSheetsCustomDataVersion2">
      <go:sheetsCustomData xmlns:go="http://customooxmlschemas.google.com/" r:id="rId1" roundtripDataSignature="AMtx7mgoQQVIu0JqWcx1N/YLtvogVRmYLw=="/>
    </ext>
  </extLst>
</comments>
</file>

<file path=xl/sharedStrings.xml><?xml version="1.0" encoding="utf-8"?>
<sst xmlns="http://schemas.openxmlformats.org/spreadsheetml/2006/main" count="556" uniqueCount="472">
  <si>
    <t>DAY 28 — MONETIZATION MODEL</t>
  </si>
  <si>
    <t>TAB 2 — PRICING SANITY CHECK</t>
  </si>
  <si>
    <t>TAB 1 — COST/JOB CALCULATOR</t>
  </si>
  <si>
    <t>AI Pricing · GTM · Evidence — AI-IN-ACTION Track 1</t>
  </si>
  <si>
    <t>Trạm 1 (S1–S2) và Trạm 3 (S3–S8). Chỉ điền ô vàng.</t>
  </si>
  <si>
    <t>QUY ƯỚC MÀU — CHỈ ĐIỀN VÀO Ô MÀU VÀNG</t>
  </si>
  <si>
    <t>S1. ĐỊNH NGHĨA JOB</t>
  </si>
  <si>
    <t>Trạm 3. Cost/Job tự lấy từ tab 1. Bạn điền giá bán và các con số neo giá.</t>
  </si>
  <si>
    <t>TAB 3 — VALUE METRIC SCORECARD</t>
  </si>
  <si>
    <t>Ô VÀNG, chữ xanh dương</t>
  </si>
  <si>
    <t>GIÁ SÀN</t>
  </si>
  <si>
    <t>Ô bạn phải điền</t>
  </si>
  <si>
    <t>Ô XÁM, chữ đen</t>
  </si>
  <si>
    <t>Công thức tự tính — KHÔNG SỬA</t>
  </si>
  <si>
    <t>Trạm 2. Chấm 0 / 1 / 2 điểm cho mỗi câu, theo THỰC TẾ HÔM NAY.</t>
  </si>
  <si>
    <t>Chữ xanh lá</t>
  </si>
  <si>
    <t>Link sang tab khác</t>
  </si>
  <si>
    <t>A. ATTRIBUTION — bạn đo được kết quả là do AI tạo ra không?</t>
  </si>
  <si>
    <t>Ô XÁM đậm nhạt</t>
  </si>
  <si>
    <t>1 job của bạn là gì?</t>
  </si>
  <si>
    <t>Bảng tham chiếu, chỉ đọc</t>
  </si>
  <si>
    <t>THỨ TỰ LÀM — 6 TRẠM, 120 PHÚT</t>
  </si>
  <si>
    <t>Trạm 1 · 15'</t>
  </si>
  <si>
    <t>Phải là thứ KHÁCH coi là giá trị — không phải '1 request'</t>
  </si>
  <si>
    <t>Ngân sách khách &amp; định nghĩa Job → điền S1–S2 của tab 1_Cost_Job</t>
  </si>
  <si>
    <t>1. Tôi có log đầy đủ mỗi job AI xử lý, gắn được với kết quả cuối cùng</t>
  </si>
  <si>
    <t>Biến thể HITL: A hay B?</t>
  </si>
  <si>
    <t>Trạm 2 · 20'</t>
  </si>
  <si>
    <t>Value Metric → tab 3_Value_Metric</t>
  </si>
  <si>
    <t>Trạm 3 · 30'</t>
  </si>
  <si>
    <t>Cost/Job, giá sàn &amp; giá trần → tab 1_Cost_Job (S3–S8) rồi 2_Pricing</t>
  </si>
  <si>
    <t>Trạm 4 · 20'</t>
  </si>
  <si>
    <t>Kênh phân phối &amp; Affordability Test → tab 4_Channel_Fit</t>
  </si>
  <si>
    <t>Trạm 5 · 15'</t>
  </si>
  <si>
    <t>Pain Moment &amp; 90-Day Plan → tab 5_90Day_Plan</t>
  </si>
  <si>
    <t>Trạm 6 · 20'</t>
  </si>
  <si>
    <t>Evidence Pack &amp; ráp One-Pager → tab 5_90Day_Plan + file .docx</t>
  </si>
  <si>
    <t>3 QUY TẮC KHÔNG ĐƯỢC PHÁ</t>
  </si>
  <si>
    <t>1. Chia cho số job HOÀN THÀNH, không phải số job đã thử.</t>
  </si>
  <si>
    <t>2. HITL và Retry không được để 0 nếu không có lý do viết ra được.</t>
  </si>
  <si>
    <t>3. Mọi con số giá API phải có NGÀY kiểm tra (xem tab 6_Benchmarks).</t>
  </si>
  <si>
    <t>A = khách tự xử lý ca escalate · B = BẠN chịu (outcome/managed)</t>
  </si>
  <si>
    <t>2. Tôi có bộ eval đo được tỷ lệ AI làm đúng, có số liệu</t>
  </si>
  <si>
    <t>Giá tham chiếu trong workbook này được chốt ngày 26/08/2026. Nhiều mức giá là KHUYẾN MẠI CÓ HẠN.</t>
  </si>
  <si>
    <t>S2. KHỐI LƯỢNG</t>
  </si>
  <si>
    <t>Bạn PHẢI tự mở lại trang giá của nhà cung cấp và cập nhật — đây là một phần của bài tập.</t>
  </si>
  <si>
    <t>Số job THỬ / tháng</t>
  </si>
  <si>
    <t>3. Khách hàng đồng ý với cách tôi định nghĩa 'thành công' của một job</t>
  </si>
  <si>
    <t>4. Tôi phân biệt được kết quả do AI tạo ra với kết quả do yếu tố khác</t>
  </si>
  <si>
    <t>5. Tôi viết được định nghĩa chặt như Intercom: cái gì tính tiền, cái gì không</t>
  </si>
  <si>
    <t>job</t>
  </si>
  <si>
    <t>→ ĐIỂM ATTRIBUTION (tối đa 10)</t>
  </si>
  <si>
    <t>Containment rate (AI tự làm xong)</t>
  </si>
  <si>
    <t>Cost/Job (từ tab 1_Cost_Job)</t>
  </si>
  <si>
    <t>Chưa đo → ước tính và ghi rõ</t>
  </si>
  <si>
    <t>→ Số job HOÀN THÀNH / tháng</t>
  </si>
  <si>
    <t>B. AUTONOMY — AI tự chạy hay cần người?</t>
  </si>
  <si>
    <t>1. AI hoàn thành job từ đầu đến cuối, không cần người bấm nút giữa chừng</t>
  </si>
  <si>
    <t>2. Job chạy được ngoài giờ hành chính mà không ai trực</t>
  </si>
  <si>
    <t>MẪU SỐ của Cost/Job</t>
  </si>
  <si>
    <t>3. Khi AI không chắc, nó tự chuyển tiếp đúng chỗ — không cần người phân loại</t>
  </si>
  <si>
    <t>→ Số job KHÔNG xong / tháng</t>
  </si>
  <si>
    <t>4. Tỷ lệ ca phải có người can thiệp dưới 20%</t>
  </si>
  <si>
    <t>5. Người vận hành chỉ kiểm tra mẫu (QA), không xử lý từng ca</t>
  </si>
  <si>
    <t>$/job</t>
  </si>
  <si>
    <t>→ ĐIỂM AUTONOMY (tối đa 10)</t>
  </si>
  <si>
    <t>Hệ số an toàn tối thiểu</t>
  </si>
  <si>
    <t>Số ca phải escalate</t>
  </si>
  <si>
    <t>S3. API — LLM</t>
  </si>
  <si>
    <t>Giá input ($ / 1M token)</t>
  </si>
  <si>
    <t>×</t>
  </si>
  <si>
    <t>GỢI Ý CỦA MODEL</t>
  </si>
  <si>
    <t>Giá bán ≥ 3 × Cost/Job</t>
  </si>
  <si>
    <t>Claude Haiku 4.5 — xem tab 6_Benchmarks</t>
  </si>
  <si>
    <t>→ GIÁ SÀN</t>
  </si>
  <si>
    <t>Giá output ($ / 1M token)</t>
  </si>
  <si>
    <t>→ Value Metric gợi ý</t>
  </si>
  <si>
    <t>Giá cache WRITE ($ / 1M token)</t>
  </si>
  <si>
    <t>Anthropic 5-phút = 1,25× input</t>
  </si>
  <si>
    <t>Giá cache READ ($ / 1M token)</t>
  </si>
  <si>
    <t>≈ 0,1× input (giảm 90%)</t>
  </si>
  <si>
    <t>Số lượt (turns) / job</t>
  </si>
  <si>
    <t>lượt</t>
  </si>
  <si>
    <t>Token input CACHE ĐƯỢC / lượt</t>
  </si>
  <si>
    <t>token</t>
  </si>
  <si>
    <t>System prompt + KB + few-shot</t>
  </si>
  <si>
    <t>Token input FRESH / lượt</t>
  </si>
  <si>
    <t>Câu hỏi khách + dữ liệu động</t>
  </si>
  <si>
    <t>Token output / lượt</t>
  </si>
  <si>
    <t>→ Cache write / job</t>
  </si>
  <si>
    <t>GIÁ TRẦN — NEO THEO THỨ KHÁCH ĐANG CHI</t>
  </si>
  <si>
    <t>Giá trị khách tiết kiệm được / tháng ($)</t>
  </si>
  <si>
    <t>→ Cache read / job</t>
  </si>
  <si>
    <t>Neo theo giá trị</t>
  </si>
  <si>
    <t>Số job / tháng của 1 khách</t>
  </si>
  <si>
    <t>→ Input fresh / job</t>
  </si>
  <si>
    <t>→ Trần theo giá trị — mức 10%</t>
  </si>
  <si>
    <t>Ngưỡng 7/10 là quy ước của bài tập, không phải chuẩn ngành — dùng để buộc bạn ra quyết định, không phải để thay bạn quyết định.</t>
  </si>
  <si>
    <t>BENCHMARK NGƯỢC — 2 sản phẩm thật cùng loại job</t>
  </si>
  <si>
    <t>Tên sản phẩm</t>
  </si>
  <si>
    <t>→ Output / job</t>
  </si>
  <si>
    <t>Value Metric</t>
  </si>
  <si>
    <t>Giá công bố</t>
  </si>
  <si>
    <t>Link nguồn</t>
  </si>
  <si>
    <t>→ LLM / job — CÓ prompt caching</t>
  </si>
  <si>
    <t>QUYẾT ĐỊNH CUỐI</t>
  </si>
  <si>
    <t>Value Metric tôi chọn</t>
  </si>
  <si>
    <t>Nếu KHÁC gợi ý — lý do thị trường là gì?</t>
  </si>
  <si>
    <t>→ Trần theo giá trị — mức 25%</t>
  </si>
  <si>
    <t>Decision Note — câu 1: tôi chọn đơn vị nào?</t>
  </si>
  <si>
    <t>→ LLM / job — KHÔNG cache</t>
  </si>
  <si>
    <t>Decision Note — câu 2: bằng chứng Attribution / Autonomy?</t>
  </si>
  <si>
    <t>Decision Note — câu 3: mô hình này lỗ trong tình huống nào?</t>
  </si>
  <si>
    <t>→ % tiết kiệm nhờ caching</t>
  </si>
  <si>
    <t>Lương / tháng của vị trí bị thay ($)</t>
  </si>
  <si>
    <t>Neo theo nhân công</t>
  </si>
  <si>
    <t>Đòn bẩy rẻ nhất bạn có</t>
  </si>
  <si>
    <t>Dùng Batch API? (1 = có, 0 = không)</t>
  </si>
  <si>
    <t>Batch giảm 50% — chỉ khi job KHÔNG cần realtime</t>
  </si>
  <si>
    <t>→ LLM / job sau Batch</t>
  </si>
  <si>
    <t>S4. API — SPEECH (để 0 nếu sản phẩm không có thoại)</t>
  </si>
  <si>
    <t>→ Trần theo nhân công — mức 50%</t>
  </si>
  <si>
    <t>Giá STT ($ / phút)</t>
  </si>
  <si>
    <t>Deepgram streaming list $0,0077/phút</t>
  </si>
  <si>
    <t>Số phút audio / job</t>
  </si>
  <si>
    <t>phút</t>
  </si>
  <si>
    <t>Giá TTS ($ / 1M ký tự)</t>
  </si>
  <si>
    <t>ElevenLabs Flash $50 · Google Standard $4</t>
  </si>
  <si>
    <t>Số ký tự TTS / job</t>
  </si>
  <si>
    <t>ký tự</t>
  </si>
  <si>
    <t>≈ 900 ký tự cho mỗi phút bot nói</t>
  </si>
  <si>
    <t>→ Speech / job</t>
  </si>
  <si>
    <t>→ Trần theo nhân công — mức 70%</t>
  </si>
  <si>
    <t>S5. INFRA</t>
  </si>
  <si>
    <t>Infra / job ($)</t>
  </si>
  <si>
    <t>Vector DB, embedding, storage, logging</t>
  </si>
  <si>
    <t>Telephony ($ / phút)</t>
  </si>
  <si>
    <t>→ Infra / job</t>
  </si>
  <si>
    <t>GIÁ BÁN CỦA BẠN</t>
  </si>
  <si>
    <t>★ Giá bán đề xuất ($ / job)</t>
  </si>
  <si>
    <t>S6. RETRY</t>
  </si>
  <si>
    <t>Tham chiếu: Intercom Fin $0,99 · Zendesk $1,50</t>
  </si>
  <si>
    <t>→ Bội số so với Cost/Job</t>
  </si>
  <si>
    <t>Tỷ lệ job phải chạy lại</t>
  </si>
  <si>
    <t>ĐỪNG để 0%. Thực tế 5–10% là bình thường</t>
  </si>
  <si>
    <t>→ Retry / job</t>
  </si>
  <si>
    <t>S7. HITL — người trong vòng lặp</t>
  </si>
  <si>
    <t>Chi phí nhân sự ($ / giờ, fully-loaded)</t>
  </si>
  <si>
    <t>Gồm lương + bảo hiểm + quản lý + chỗ ngồi</t>
  </si>
  <si>
    <t>% hội thoại QA nội bộ</t>
  </si>
  <si>
    <t>Luôn có, kể cả Biến thể A</t>
  </si>
  <si>
    <t>→ GROSS MARGIN</t>
  </si>
  <si>
    <t>Số phút QA / ca</t>
  </si>
  <si>
    <t>Số phút xử lý 1 ca escalate</t>
  </si>
  <si>
    <t>→ QA nội bộ / tháng</t>
  </si>
  <si>
    <t>→ Đèn: bội số ≥ 3?</t>
  </si>
  <si>
    <t>→ Escalation / tháng (chỉ Biến thể B)</t>
  </si>
  <si>
    <t>TAB 4 — CHANNEL FIT &amp; AFFORDABILITY TEST</t>
  </si>
  <si>
    <t>→ Đèn: Gross Margin</t>
  </si>
  <si>
    <t>Trạm 4. Chọn ĐÚNG 1 kênh cho 90 ngày đầu — và chứng minh bằng số.</t>
  </si>
  <si>
    <t>A. NGÂN SÁCH CAC — bạn nuôi nổi kênh nào?</t>
  </si>
  <si>
    <t>Biến thể A → 0 vì khách tự chịu</t>
  </si>
  <si>
    <t>→ Tổng HITL / tháng</t>
  </si>
  <si>
    <t>ARPU / tháng ($)</t>
  </si>
  <si>
    <t>Gross Margin (từ tab 2_Pricing)</t>
  </si>
  <si>
    <t>→ Đèn: GM có cao bất thường?</t>
  </si>
  <si>
    <t>S8. OVERHEAD (tuỳ chọn)</t>
  </si>
  <si>
    <t>R&amp;D + Sales phân bổ / tháng ($)</t>
  </si>
  <si>
    <t>Để 0 nếu chỉ muốn xem Cost/Job thuần COGS</t>
  </si>
  <si>
    <t>KẾT QUẢ</t>
  </si>
  <si>
    <t>Chi phí biến đổi / tháng (API + Speech + Infra + Retry)</t>
  </si>
  <si>
    <t>→ Giá bán nằm trong vùng neo?</t>
  </si>
  <si>
    <t>HITL / tháng</t>
  </si>
  <si>
    <t>Overhead / tháng</t>
  </si>
  <si>
    <t>TỔNG CHI PHÍ / tháng</t>
  </si>
  <si>
    <t>BREAKEVEN CONTAINMENT — ngưỡng sống còn</t>
  </si>
  <si>
    <t>Phân khúc (SMB / Mid / Enterprise)</t>
  </si>
  <si>
    <t>Ký hiệu: v = chi phí biến đổi / job thử · q = QA / job thử · e = chi phí 1 ca escalate</t>
  </si>
  <si>
    <t>SMB</t>
  </si>
  <si>
    <t>★ COST/JOB (chưa overhead)</t>
  </si>
  <si>
    <t>v — chi phí biến đổi / job thử</t>
  </si>
  <si>
    <t>→ CAC payback cho phép (tháng)</t>
  </si>
  <si>
    <t>Con số chảy sang tab 2_Pricing</t>
  </si>
  <si>
    <t>★ COST/JOB (có overhead)</t>
  </si>
  <si>
    <t>tháng</t>
  </si>
  <si>
    <t>Bessemer, Scaling to $100M (2024)</t>
  </si>
  <si>
    <t>q — QA nội bộ / job thử</t>
  </si>
  <si>
    <t>★ NGÂN SÁCH CAC / khách</t>
  </si>
  <si>
    <t>Tỷ giá (₫ / USD) — giả định</t>
  </si>
  <si>
    <t>₫/USD</t>
  </si>
  <si>
    <t>Thay bằng tỷ giá thực tế khi làm bài</t>
  </si>
  <si>
    <t>→ Cost/Job quy đổi</t>
  </si>
  <si>
    <t>ARPU × GM × số tháng payback</t>
  </si>
  <si>
    <t>→ ACV (giá trị hợp đồng / năm)</t>
  </si>
  <si>
    <t>e — chi phí 1 ca escalate</t>
  </si>
  <si>
    <t>₫/job</t>
  </si>
  <si>
    <t>THÀNH PHẦN NÀO ĂN NHIỀU NHẤT? (kiểm tra nhanh)</t>
  </si>
  <si>
    <t>B. SALES VIABILITY — một AE phải chốt bao nhiêu deal?</t>
  </si>
  <si>
    <t>LLM</t>
  </si>
  <si>
    <t>Quota / AE / năm ($)</t>
  </si>
  <si>
    <t>Giả định gốc của Tunguz (2016) — thay bằng số thị trường bạn</t>
  </si>
  <si>
    <t>Số ngày làm việc / năm</t>
  </si>
  <si>
    <t>ngày</t>
  </si>
  <si>
    <t>→ Số deal / AE / năm</t>
  </si>
  <si>
    <t>Gross Margin mục tiêu</t>
  </si>
  <si>
    <t>★ Containment tối thiểu cần đạt</t>
  </si>
  <si>
    <t>Speech</t>
  </si>
  <si>
    <t>★ Số deal / AE / NGÀY</t>
  </si>
  <si>
    <t>Infra</t>
  </si>
  <si>
    <t>deal/ngày</t>
  </si>
  <si>
    <t>→ Kết luận Sales-Led</t>
  </si>
  <si>
    <t>Retry</t>
  </si>
  <si>
    <t>Công thức: R ≥ (v+q+e) / (P×(1−GM)+e)</t>
  </si>
  <si>
    <t>Containment hiện tại (từ tab 1)</t>
  </si>
  <si>
    <t>HITL</t>
  </si>
  <si>
    <t>C. ĐỐI CHIẾU CAC THỰC TẾ CỦA MOTION CÓ SALES</t>
  </si>
  <si>
    <t>Cost per opportunity ($)</t>
  </si>
  <si>
    <t>ICONIQ 2026 theo phân khúc: $6.300 · $8.000 · $11.200</t>
  </si>
  <si>
    <t>Win rate</t>
  </si>
  <si>
    <t>Overhead</t>
  </si>
  <si>
    <t>→ CAC thực tế ước tính / khách</t>
  </si>
  <si>
    <t>Nếu LLM chiếm &gt;80% thì gần như chắc chắn bạn đang thiếu chi phí ở S5–S7.</t>
  </si>
  <si>
    <t>→ Kết luận</t>
  </si>
  <si>
    <t>★ Lệch bao nhiêu lần so với ngân sách CAC?</t>
  </si>
  <si>
    <t>SENSITIVITY — mô hình gãy ở đâu?</t>
  </si>
  <si>
    <t>Containment</t>
  </si>
  <si>
    <t>Đây là bằng chứng chọn kênh của bạn</t>
  </si>
  <si>
    <t>Cost/Job</t>
  </si>
  <si>
    <t>Gross Margin</t>
  </si>
  <si>
    <t>Đánh giá</t>
  </si>
  <si>
    <t>D. CHẤM ĐIỂM 3 KÊNH (1 = rất kém, 5 = rất tốt)</t>
  </si>
  <si>
    <t>Tiêu chí</t>
  </si>
  <si>
    <t>PLG</t>
  </si>
  <si>
    <t>Sales-Led</t>
  </si>
  <si>
    <t>Partner-Led</t>
  </si>
  <si>
    <t>1. Ngân sách CAC của tôi nuôi nổi kênh này</t>
  </si>
  <si>
    <t>2. Khách hàng mục tiêu thực sự mua theo cách này</t>
  </si>
  <si>
    <t>3. Đội hiện tại có năng lực chạy kênh này ngay</t>
  </si>
  <si>
    <t>4. Tôi tiếp cận được điểm nhúng / partner trong 30 ngày</t>
  </si>
  <si>
    <t>5. Kênh này đưa tôi đến ĐÚNG Pain Moment</t>
  </si>
  <si>
    <t>6. Tôi đo được hiệu quả trong vòng 90 ngày</t>
  </si>
  <si>
    <t>TAB 5 — PAIN MOMENT · 90-DAY PLAN · EVIDENCE PACK</t>
  </si>
  <si>
    <t>→ TỔNG ĐIỂM</t>
  </si>
  <si>
    <t>Trạm 5 và Trạm 6.</t>
  </si>
  <si>
    <t>A. PAIN MOMENT — phải đủ 3 phần</t>
  </si>
  <si>
    <t>→ Kênh điểm cao nhất</t>
  </si>
  <si>
    <t>MẤY GIỜ khách đau nhất?</t>
  </si>
  <si>
    <t>Lúc đó họ ĐANG LÀM GÌ?</t>
  </si>
  <si>
    <t>Họ đang DÙNG APP / KÊNH NÀO?</t>
  </si>
  <si>
    <t>→ Điểm nhúng cụ thể của bạn</t>
  </si>
  <si>
    <t>Một bề mặt tích hợp có tên, không phải 'website của chúng tôi'</t>
  </si>
  <si>
    <t>B. 90-DAY PLAN</t>
  </si>
  <si>
    <t>E. CHỐT KÊNH</t>
  </si>
  <si>
    <t>THÁNG 1 — Học</t>
  </si>
  <si>
    <t>THÁNG 2–3 — Đòn bẩy</t>
  </si>
  <si>
    <t>THÁNG 4+ — Mở rộng</t>
  </si>
  <si>
    <t>★ Kênh tôi chọn cho 90 ngày đầu</t>
  </si>
  <si>
    <t>Kênh sử dụng</t>
  </si>
  <si>
    <t>ĐÚNG 1 kênh. Chọn 2 kênh trở lên bị trừ điểm.</t>
  </si>
  <si>
    <t>Nếu Partner-Led: TÊN CÔNG TY partner</t>
  </si>
  <si>
    <t>'Các nền tảng trong ngành' = chưa có kênh</t>
  </si>
  <si>
    <t>Đã nói chuyện với họ chưa? (Rồi / Chưa)</t>
  </si>
  <si>
    <t>Chưa</t>
  </si>
  <si>
    <t>Bạn mang lại giá trị gì cho partner?</t>
  </si>
  <si>
    <t>Mục tiêu số khách</t>
  </si>
  <si>
    <t>Nếu rơi vào vùng không khả thi — lối thoát nào?</t>
  </si>
  <si>
    <t>Giảm giá để tự phục vụ / tăng giá + service / Partner-Led</t>
  </si>
  <si>
    <t>Việc cụ thể 1</t>
  </si>
  <si>
    <t>Việc cụ thể 2</t>
  </si>
  <si>
    <t>Việc cụ thể 3</t>
  </si>
  <si>
    <t>KPI đo được</t>
  </si>
  <si>
    <t>Người chịu trách nhiệm</t>
  </si>
  <si>
    <t>Tháng 1 là giai đoạn HỌC, không phải scale. Kế hoạch 'tháng 1 lấy 200 khách ở 5 ngành' là kế hoạch chưa ai từng thử làm.</t>
  </si>
  <si>
    <t>C. EVIDENCE PACK — 3 tài sản bán hàng</t>
  </si>
  <si>
    <t>Tài sản</t>
  </si>
  <si>
    <t>Đã có? (Rồi/Chưa)</t>
  </si>
  <si>
    <t>Nội dung 1 câu — hoặc việc cần làm</t>
  </si>
  <si>
    <t>Người phụ trách · Deadline</t>
  </si>
  <si>
    <t xml:space="preserve">1. Eval Results </t>
  </si>
  <si>
    <t xml:space="preserve">2. Risk Checklist </t>
  </si>
  <si>
    <t>Nhìn cột Gross Margin: mô hình của bạn mong manh đến mức nào khi AI làm sai nhiều hơn dự kiến?</t>
  </si>
  <si>
    <t>3. Pilot Report</t>
  </si>
  <si>
    <t>5 CON SỐ PHẢI MANG SANG ONE-PAGER</t>
  </si>
  <si>
    <t>Ô nào CHƯA CÓ thì ghi deadline — đừng bỏ trống. Thành thật về khoảng trống được điểm cao hơn bịa nội dung.</t>
  </si>
  <si>
    <t>D. BÀI TEST NGƯỜI LẠ — nhóm khác đọc One-Pager trong 2 phút</t>
  </si>
  <si>
    <t>Họ trả lời được: bán gì, cho ai, tính tiền theo đơn vị nào? (Được/Không)</t>
  </si>
  <si>
    <t>Họ trả lời được: có lãi trên mỗi đơn vị không, số nào chứng minh? (Được/Không)</t>
  </si>
  <si>
    <t>Họ trả lời được: tiếp cận khách qua đâu, vì sao kênh đó? (Được/Không)</t>
  </si>
  <si>
    <t>Số câu họ phải hỏi lại (mục tiêu ≤ 3)</t>
  </si>
  <si>
    <t>Giá sàn (3×)</t>
  </si>
  <si>
    <t>Giá bán đề xuất</t>
  </si>
  <si>
    <t>Breakeven containment</t>
  </si>
  <si>
    <t>TAB 6 — BENCHMARKS (CHỈ ĐỌC)</t>
  </si>
  <si>
    <t>Giá chốt ngày 26/08/2026. Dòng có ⏳ là GIÁ KHUYẾN MẠI CÓ HẠN — phải kiểm tra lại.</t>
  </si>
  <si>
    <t>NGÀY BẠN KIỂM TRA LẠI GIÁ</t>
  </si>
  <si>
    <t>Bắt buộc điền — Rubric có chấm mục này</t>
  </si>
  <si>
    <t>Nhóm</t>
  </si>
  <si>
    <t>Mục</t>
  </si>
  <si>
    <t>Giá</t>
  </si>
  <si>
    <t>Đơn vị</t>
  </si>
  <si>
    <t>Nguồn</t>
  </si>
  <si>
    <t>Claude Opus 5 — input / output</t>
  </si>
  <si>
    <t>5,00 / 25,00</t>
  </si>
  <si>
    <t>$ / 1M token</t>
  </si>
  <si>
    <t>platform.claude.com/docs/en/about-claude/pricing</t>
  </si>
  <si>
    <t>Claude Sonnet 5 — input / output</t>
  </si>
  <si>
    <t>2,00 / 10,00</t>
  </si>
  <si>
    <t>Claude Haiku 4.5 — input / output</t>
  </si>
  <si>
    <t>1,00 / 5,00</t>
  </si>
  <si>
    <t>Claude — cache write 5' / cache read</t>
  </si>
  <si>
    <t>1,25× / 0,10× input</t>
  </si>
  <si>
    <t>hệ số</t>
  </si>
  <si>
    <t>⏳ OpenAI GPT-5.6 Sol — input / output</t>
  </si>
  <si>
    <t>4,00 / 20,00</t>
  </si>
  <si>
    <t>developers.openai.com/api/docs/pricing (KM 21/08–21/11/2026; list 5,00/30,00)</t>
  </si>
  <si>
    <t>OpenAI GPT-5.6 Luna — input / output</t>
  </si>
  <si>
    <t>0,20 / 1,20</t>
  </si>
  <si>
    <t>developers.openai.com/api/docs/pricing</t>
  </si>
  <si>
    <t>OpenAI — cached input / Batch API</t>
  </si>
  <si>
    <t>10% input / −50%</t>
  </si>
  <si>
    <t>Gemini 3.1 Pro — input / output (≤200k)</t>
  </si>
  <si>
    <t>2,00 / 12,00</t>
  </si>
  <si>
    <t>ai.google.dev/gemini-api/docs/pricing</t>
  </si>
  <si>
    <t>⏳ Gemini 3.7 Flash — input / output</t>
  </si>
  <si>
    <t>0,75 / 3,75</t>
  </si>
  <si>
    <t>ai.google.dev/gemini-api/docs/pricing (KM đến 31/12/2026; sau đó 1,50/7,50)</t>
  </si>
  <si>
    <t>STT</t>
  </si>
  <si>
    <t>Deepgram Nova-3 — pre-recorded</t>
  </si>
  <si>
    <t>0,0043</t>
  </si>
  <si>
    <t>$ / phút</t>
  </si>
  <si>
    <t>deepgram.com/pricing</t>
  </si>
  <si>
    <t>⏳ Deepgram Nova-3 — streaming</t>
  </si>
  <si>
    <t>list 0,0077 · KM 0,0048</t>
  </si>
  <si>
    <t>deepgram.com/pricing — đang khuyến mại, kiểm tra lại</t>
  </si>
  <si>
    <t>AssemblyAI Universal-2 — async</t>
  </si>
  <si>
    <t>0,0025</t>
  </si>
  <si>
    <t>assemblyai.com/pricing</t>
  </si>
  <si>
    <t>OpenAI gpt-4o-mini-transcribe</t>
  </si>
  <si>
    <t>0,0030</t>
  </si>
  <si>
    <t>TTS</t>
  </si>
  <si>
    <t>Google Cloud TTS — Standard</t>
  </si>
  <si>
    <t>4,00</t>
  </si>
  <si>
    <t>$ / 1M ký tự</t>
  </si>
  <si>
    <t>cloud.google.com/text-to-speech/pricing (rẻ nhất)</t>
  </si>
  <si>
    <t>OpenAI tts-1</t>
  </si>
  <si>
    <t>15,00</t>
  </si>
  <si>
    <t>ElevenLabs Flash / Turbo</t>
  </si>
  <si>
    <t>50,00</t>
  </si>
  <si>
    <t>elevenlabs.io/pricing/api</t>
  </si>
  <si>
    <t>ElevenLabs v3 / v2 Multilingual</t>
  </si>
  <si>
    <t>100,00</t>
  </si>
  <si>
    <t>Quy đổi</t>
  </si>
  <si>
    <t>Tốc độ nói</t>
  </si>
  <si>
    <t>≈ 900</t>
  </si>
  <si>
    <t>ký tự / phút</t>
  </si>
  <si>
    <t>≈150 từ/phút — dùng để đổi phút ↔ ký tự</t>
  </si>
  <si>
    <t>Lưu ý</t>
  </si>
  <si>
    <t>Google TTS — ký tự CJK</t>
  </si>
  <si>
    <t>tính là 1 ký tự</t>
  </si>
  <si>
    <t>—</t>
  </si>
  <si>
    <t>cloud.google.com/text-to-speech/pricing (KHÔNG phải ×2)</t>
  </si>
  <si>
    <t>Google STT — tính theo kênh</t>
  </si>
  <si>
    <t>4 kênh × 120s = 480s</t>
  </si>
  <si>
    <t>cloud.google.com/speech-to-text/pricing</t>
  </si>
  <si>
    <t>Streaming vs async STT</t>
  </si>
  <si>
    <t>1× đến ~5×</t>
  </si>
  <si>
    <t>Tuỳ nhà cung cấp — AssemblyAI 1,0× · Google ~5×. Đừng dùng hệ số chung</t>
  </si>
  <si>
    <t>Sản phẩm</t>
  </si>
  <si>
    <t>Intercom Fin — resolution</t>
  </si>
  <si>
    <t>0,99</t>
  </si>
  <si>
    <t>$ / outcome</t>
  </si>
  <si>
    <t>fin.ai/pricing</t>
  </si>
  <si>
    <t>Intercom Fin — qualification (sales)</t>
  </si>
  <si>
    <t>9,99</t>
  </si>
  <si>
    <t>Zendesk — automated resolution</t>
  </si>
  <si>
    <t>1,50</t>
  </si>
  <si>
    <t>$ / resolution</t>
  </si>
  <si>
    <t>zendesk.com/blog/ai/agentic-ai/outcome-based-pricing/ (blog, không trên trang giá)</t>
  </si>
  <si>
    <t>Salesforce Agentforce — Flex Credit</t>
  </si>
  <si>
    <t>0,005 (action = 0,10)</t>
  </si>
  <si>
    <t>$ / credit</t>
  </si>
  <si>
    <t>salesforce.com/agentforce/pricing</t>
  </si>
  <si>
    <t>Salesforce Agentforce — conversation</t>
  </si>
  <si>
    <t>2,00</t>
  </si>
  <si>
    <t>$ / conversation</t>
  </si>
  <si>
    <t>GitHub Copilot — AI Credit</t>
  </si>
  <si>
    <t>0,01</t>
  </si>
  <si>
    <t>docs.github.com/en/copilot/get-started/plans</t>
  </si>
  <si>
    <t>GitHub Copilot Business / Enterprise</t>
  </si>
  <si>
    <t>19 / 39</t>
  </si>
  <si>
    <t>$ / seat / tháng</t>
  </si>
  <si>
    <t>Notion — Business / credits</t>
  </si>
  <si>
    <t>20 / 10 per 1.000</t>
  </si>
  <si>
    <t>$ / member / tháng</t>
  </si>
  <si>
    <t>notion.com/pricing</t>
  </si>
  <si>
    <t>Benchmark</t>
  </si>
  <si>
    <t>Gross Margin AI-native 2026E</t>
  </si>
  <si>
    <t>≈ 53%</t>
  </si>
  <si>
    <t>%</t>
  </si>
  <si>
    <t>ICONIQ, 2026 State of AI: The Builder's Economy (07/2026)</t>
  </si>
  <si>
    <t>Gross Margin cloud (middle 50%)</t>
  </si>
  <si>
    <t>60 – 80%</t>
  </si>
  <si>
    <t>Bessemer, Scaling to $100 Million (2024)</t>
  </si>
  <si>
    <t>Vertical AI — GM / model cost</t>
  </si>
  <si>
    <t>≈65% / ≈10% doanh thu</t>
  </si>
  <si>
    <t>Bessemer, State of the Cloud 2024</t>
  </si>
  <si>
    <t>CAC payback SMB / Mid / Enterprise</t>
  </si>
  <si>
    <t>12 / 18 / 24</t>
  </si>
  <si>
    <t>LTV : CAC</t>
  </si>
  <si>
    <t>≥ 3×</t>
  </si>
  <si>
    <t>lần</t>
  </si>
  <si>
    <t>David Skok, SaaS Metrics 2.0 (cập nhật 06/2026)</t>
  </si>
  <si>
    <t>Cost per opportunity 2026 (theo phân khúc)</t>
  </si>
  <si>
    <t>6.300 · 8.000 · 11.200</t>
  </si>
  <si>
    <t>$</t>
  </si>
  <si>
    <t>ICONIQ, State of GTM 2026 (tr.22)</t>
  </si>
  <si>
    <t>ACV sàn cho inside sales</t>
  </si>
  <si>
    <t>≈ 3.000</t>
  </si>
  <si>
    <t>$ / năm</t>
  </si>
  <si>
    <t>Tomasz Tunguz (2016) — có kèm giả định để tính lại</t>
  </si>
  <si>
    <t>Lưu ý: trang marketing của nhà cung cấp có thể hiển thị giá cũ hơn trang docs. Ưu tiên trang docs / pricing chính thức.</t>
  </si>
  <si>
    <t>1 hóa đơn nhà cung cấp được đối soát 3 chiều xong (hóa đơn ↔ PO ↔ phiếu nhập): máy ghép đúng mọi dòng và gắn cờ đúng mọi chênh lệch, Kế toán viên chỉ cần duyệt cấp 1 mà không phải sửa ghép dòng nào. Không tính khi hóa đơn lỗi đọc, khi Kế toán viên phải sửa ghép, hoặc khi quyết định bị đảo trong 2 ngày làm việc.</t>
  </si>
  <si>
    <t>A</t>
  </si>
  <si>
    <t>Nanonets</t>
  </si>
  <si>
    <t>Usage (theo workflow block / hóa đơn)</t>
  </si>
  <si>
    <t>0,10–0,30 $/block (ước tính &lt;2,00 $/hóa đơn)</t>
  </si>
  <si>
    <t>https://nanonets.com/pricing</t>
  </si>
  <si>
    <t>BILL AP</t>
  </si>
  <si>
    <t>Seat / User (kèm phí giao dịch)</t>
  </si>
  <si>
    <t>45–49 $/user/tháng (Team 55–65 $, Corp 89 $)</t>
  </si>
  <si>
    <t>https://www.bill.com/product/pricing</t>
  </si>
  <si>
    <t>Usage</t>
  </si>
  <si>
    <t>Attribution 7/10: mỗi kết luận đối soát truy được về nguồn chứng từ, eval 150 hóa đơn có số liệu precision/recall cặp ghép 99,8% / 92,8% và 48/150 hóa đơn đúng hoàn toàn; Autonomy 3/10 vì nguyên tắc hệ thống bắt buộc kế toán duyệt mọi hóa đơn và 68% hóa đơn còn cần người sửa ghép.</t>
  </si>
  <si>
    <t>Mô hình lỗ khi khách gửi nhiều hóa đơn scan/ảnh chất lượng kém làm chi phí OCR vision tăng vọt, hoặc khi tỷ lệ đúng hoàn toàn trên dữ liệu thực tế thấp hơn nhiều so với eval khiến khách cảm thấy trả tiền mà kế toán vẫn phải can thiệp nhiều; mức sàn chi tiêu và việc chỉ tính tiền hóa đơn hoàn thành giúp bảo vệ cả hai bên.</t>
  </si>
  <si>
    <t>MISA JSC (MISA AMIS Kế toán)</t>
  </si>
  <si>
    <t>Cung cấp engine xử lý ngoại lệ đối soát 3 chiều tự động (hóa đơn ↔ PO ↔ phiếu nhập) tích hợp sẵn trong MISA AMIS mà AVA chưa có, giúp giữ chân khách hàng SME và chia sẻ doanh thu 20–30% cho MISA.</t>
  </si>
  <si>
    <t>Đi Partner-Led qua chương trình đối tác MISA Open API; trong 30 ngày gửi hồ sơ đăng ký đối tác công nghệ và hoàn thiện demo tích hợp trên dữ liệu mẫu MISA AMIS do Nguyễn Quang Huy phụ trách.</t>
  </si>
  <si>
    <t>Ngày 25 đến ngày 5 hằng tháng (kỳ chốt sổ kế toán), cao điểm từ 8h–11h sáng khi hóa đơn điện tử NCC dồn về.</t>
  </si>
  <si>
    <t>Kế toán viên công nợ mở từng hóa đơn, dò lại PO và phiếu nhập kho để khớp từng dòng trước khi trình Kế toán trưởng duyệt thanh toán.</t>
  </si>
  <si>
    <t>MISA AMIS Kế toán + Excel đối chiếu + hộp thư nhận hóa đơn điện tử.</t>
  </si>
  <si>
    <t>Ứng dụng add-on tích hợp trong MISA AMIS (qua MISA Open API): hóa đơn về được đối soát sẵn và gắn cờ ngoại lệ ngay trên màn hình chứng từ mua hàng — không cần chuyển sang website riêng.</t>
  </si>
  <si>
    <t>Direct Onboarding (onboard thủ công 3 khách SME dùng MISA để học nghiệp vụ)</t>
  </si>
  <si>
    <t>Partner-Led qua MISA Store / MISA Open API</t>
  </si>
  <si>
    <t>Mở rộng Partner (Fast Accounting) và các công ty dịch vụ kế toán đại lý</t>
  </si>
  <si>
    <t>3 khách hàng SME dùng MISA AMIS (pilot có cam kết dữ liệu)</t>
  </si>
  <si>
    <t>10 khách hàng trả tiền đầu tiên qua kênh đối tác MISA</t>
  </si>
  <si>
    <t>30 khách hàng trả tiền (SME thương mại/dịch vụ)</t>
  </si>
  <si>
    <t>Cài đặt connector lấy dữ liệu hóa đơn, PO, phiếu nhập kho từ MISA AMIS của 3 khách pilot</t>
  </si>
  <si>
    <t>Phát hành ứng dụng đối soát trên MISA Store và hoàn thiện tài liệu hướng dẫn tích hợp</t>
  </si>
  <si>
    <t>Phát triển connector cho Fast Accounting và cổng portal cho đại lý dịch vụ kế toán</t>
  </si>
  <si>
    <t>Chạy đối soát song song trên ≥300 hóa đơn thật, đo tỷ lệ đúng hoàn toàn và các ca ngoại lệ thực tế</t>
  </si>
  <si>
    <t>Đào tạo đội ngũ hỗ trợ đối tác MISA và tổ chức webinar chung về tự động hóa đối soát AP</t>
  </si>
  <si>
    <t>Xây dựng tính năng tự học quy tắc ghép dòng theo từng nhà cung cấp (vendor-specific learning)</t>
  </si>
  <si>
    <t>Phỏng vấn KTV và KTT sau mỗi đợt chốt sổ để tinh chỉnh ngưỡng confidence và giao diện xử lý ngoại lệ</t>
  </si>
  <si>
    <t>Theo dõi tỷ lệ chuyển đổi từ dùng thử sang trả tiền và tỷ lệ giữ chân sau kỳ khóa sổ</t>
  </si>
  <si>
    <t>Thiết lập chương trình giới thiệu khách hàng (referral) và chính sách chiết khấu bậc thang theo khối lượng</t>
  </si>
  <si>
    <t>Đo được tỷ lệ đúng hoàn toàn trên dữ liệu thật (kỳ vọng ≥30%); giảm ≥50% thời gian đối soát của KTV</t>
  </si>
  <si>
    <t>10 khách hàng trả tiền; ≥60% khách hàng hoạt động hàng tuần trong kỳ chốt sổ (NSM); NPS ≥ 8/10</t>
  </si>
  <si>
    <t>Doanh thu ARR đạt $22.000; Gross Margin duy trì ≥70%; tỷ lệ churn tháng &lt;5%</t>
  </si>
  <si>
    <t>Nguyễn Quang Huy (PM/Onboarding) &amp; Trần Vũ Hoàn (Matching Engine)</t>
  </si>
  <si>
    <t>Nguyễn Quang Huy (GTM/Partner) &amp; Phạm Văn Giáp (API/Deployment)</t>
  </si>
  <si>
    <t>Nguyễn Quang Huy (Product Lead)</t>
  </si>
  <si>
    <t>Rồi</t>
  </si>
  <si>
    <t>Đối soát đúng hoàn toàn 32% hóa đơn (48/150, seed 143, 02/10/2026), 68% chuyển KTV duyệt/sửa; cấp dòng: precision 99,8%, recall 92,8%, 0 dòng sai không qua người — dữ liệu sinh, chưa có hóa đơn thật.</t>
  </si>
  <si>
    <t>Trần Vũ Hoàn · Đo lại trên ≥300 hóa đơn thật trước 15/11/2026</t>
  </si>
  <si>
    <t>Đã có kiến trúc: LLM không tạo con số (nguyên tắc 2 BRIEF_v3), không bút toán nào qua mà không có người duyệt (nguyên tắc 1), dữ liệu multi-tenant cô lập theo org_id; cần hoàn thiện văn bản cam kết bảo mật DPA.</t>
  </si>
  <si>
    <t>Phạm Văn Giáp · Hoàn thiện DPA &amp; Q&amp;A trước 30/10/2026</t>
  </si>
  <si>
    <t>Đã hoàn thành thử nghiệm kỹ thuật trên kịch bản giả lập; cần thực hiện pilot 4 tuần với 1 doanh nghiệp SME dùng MISA AMIS (quy mô ≥300 hóa đơn) để đo đạc thời gian tiết kiệm thực tế.</t>
  </si>
  <si>
    <t>Nguyễn Quang Huy · Bắt đầu pilot 01/11/2026, nghiệm thu 30/11/2026</t>
  </si>
  <si>
    <t>Tôi tính tiền theo mỗi hóa đơn NCC được đối soát 3 chiều xong (theo định nghĩa job ở tab 1), giá 10.000 ₫/hóa đơn, với mức chi tiêu tối thiểu 1.000.000 ₫/tháng (tương đương 100 hóa đơn hoàn thành); khách điển hình 500 hóa đơn đầu vào có khoảng 160 hóa đơn hoàn thành nên trả theo lượt dùng, mức tối thiểu chỉ áp cho khách rất nhỏ.</t>
  </si>
  <si>
    <t>Không áp dụng (Đã chọn đúng theo gợi ý của scorecard: USAGE)</t>
  </si>
  <si>
    <t>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</si>
</sst>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
    <numFmt numFmtId="166" formatCode="#,##0.0"/>
    <numFmt numFmtId="167" formatCode="\$#,##0.00"/>
    <numFmt numFmtId="168" formatCode="\$#,##0"/>
    <numFmt numFmtId="169" formatCode="#,##0.0\×"/>
    <numFmt numFmtId="170" formatCode="#,##0&quot; ₫&quot;"/>
  </numFmts>
  <fonts count="11" x14ac:knownFonts="1">
    <font>
      <sz val="11"/>
      <color theme="1"/>
      <name val="Calibri"/>
      <scheme val="minor"/>
    </font>
    <font>
      <b/>
      <sz val="14"/>
      <color rgb="FFFFFFFF"/>
      <name val="Arial"/>
    </font>
    <font>
      <sz val="11"/>
      <color theme="1"/>
      <name val="Calibri"/>
    </font>
    <font>
      <i/>
      <sz val="9"/>
      <color rgb="FF666666"/>
      <name val="Arial"/>
    </font>
    <font>
      <b/>
      <sz val="11"/>
      <color rgb="FF1F2937"/>
      <name val="Arial"/>
    </font>
    <font>
      <sz val="10"/>
      <color rgb="FF0000FF"/>
      <name val="Arial"/>
    </font>
    <font>
      <sz val="10"/>
      <color theme="1"/>
      <name val="Arial"/>
    </font>
    <font>
      <sz val="10"/>
      <color rgb="FF008000"/>
      <name val="Arial"/>
    </font>
    <font>
      <b/>
      <sz val="10"/>
      <color theme="1"/>
      <name val="Arial"/>
    </font>
    <font>
      <b/>
      <sz val="11"/>
      <color rgb="FFC00000"/>
      <name val="Arial"/>
    </font>
    <font>
      <b/>
      <sz val="10"/>
      <color rgb="FFFFFFFF"/>
      <name val="Arial"/>
    </font>
  </fonts>
  <fills count="7">
    <fill>
      <patternFill patternType="none"/>
    </fill>
    <fill>
      <patternFill patternType="gray125"/>
    </fill>
    <fill>
      <patternFill patternType="solid">
        <fgColor rgb="FF1F2937"/>
        <bgColor rgb="FF1F2937"/>
      </patternFill>
    </fill>
    <fill>
      <patternFill patternType="solid">
        <fgColor rgb="FFFFF2CC"/>
        <bgColor rgb="FFFFF2CC"/>
      </patternFill>
    </fill>
    <fill>
      <patternFill patternType="solid">
        <fgColor rgb="FFE8EAF6"/>
        <bgColor rgb="FFE8EAF6"/>
      </patternFill>
    </fill>
    <fill>
      <patternFill patternType="solid">
        <fgColor rgb="FFF2F2F2"/>
        <bgColor rgb="FFF2F2F2"/>
      </patternFill>
    </fill>
    <fill>
      <patternFill patternType="solid">
        <fgColor rgb="FFEDEDED"/>
        <bgColor rgb="FFEDEDED"/>
      </patternFill>
    </fill>
  </fills>
  <borders count="3">
    <border>
      <left/>
      <right/>
      <top/>
      <bottom/>
      <diagonal/>
    </border>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4">
    <xf numFmtId="0" fontId="0" fillId="0" borderId="0" xfId="0"/>
    <xf numFmtId="0" fontId="1" fillId="2" borderId="1" xfId="0" applyFont="1" applyFill="1" applyBorder="1"/>
    <xf numFmtId="0" fontId="2" fillId="2" borderId="1" xfId="0" applyFont="1" applyFill="1" applyBorder="1"/>
    <xf numFmtId="0" fontId="3" fillId="0" borderId="0" xfId="0" applyFont="1"/>
    <xf numFmtId="0" fontId="4" fillId="0" borderId="0" xfId="0" applyFont="1"/>
    <xf numFmtId="0" fontId="5" fillId="3" borderId="2" xfId="0" applyFont="1" applyFill="1" applyBorder="1"/>
    <xf numFmtId="0" fontId="6" fillId="0" borderId="0" xfId="0" applyFont="1"/>
    <xf numFmtId="0" fontId="4" fillId="4" borderId="1" xfId="0" applyFont="1" applyFill="1" applyBorder="1"/>
    <xf numFmtId="0" fontId="6" fillId="5" borderId="2" xfId="0" applyFont="1" applyFill="1" applyBorder="1"/>
    <xf numFmtId="0" fontId="7" fillId="0" borderId="2" xfId="0" applyFont="1" applyBorder="1"/>
    <xf numFmtId="0" fontId="2" fillId="4" borderId="1" xfId="0" applyFont="1" applyFill="1" applyBorder="1"/>
    <xf numFmtId="0" fontId="6" fillId="6" borderId="2" xfId="0" applyFont="1" applyFill="1" applyBorder="1"/>
    <xf numFmtId="0" fontId="8" fillId="0" borderId="0" xfId="0" applyFont="1"/>
    <xf numFmtId="0" fontId="5" fillId="3" borderId="2" xfId="0" applyFont="1" applyFill="1" applyBorder="1" applyAlignment="1">
      <alignment horizontal="center"/>
    </xf>
    <xf numFmtId="3" fontId="5" fillId="3" borderId="2" xfId="0" applyNumberFormat="1" applyFont="1" applyFill="1" applyBorder="1"/>
    <xf numFmtId="164" fontId="5" fillId="3" borderId="2" xfId="0" applyNumberFormat="1" applyFont="1" applyFill="1" applyBorder="1"/>
    <xf numFmtId="3" fontId="9" fillId="5" borderId="2" xfId="0" applyNumberFormat="1" applyFont="1" applyFill="1" applyBorder="1"/>
    <xf numFmtId="3" fontId="6" fillId="5" borderId="2" xfId="0" applyNumberFormat="1" applyFont="1" applyFill="1" applyBorder="1"/>
    <xf numFmtId="165" fontId="7" fillId="5" borderId="2" xfId="0" applyNumberFormat="1" applyFont="1" applyFill="1" applyBorder="1"/>
    <xf numFmtId="166" fontId="5" fillId="3" borderId="2" xfId="0" applyNumberFormat="1" applyFont="1" applyFill="1" applyBorder="1"/>
    <xf numFmtId="167" fontId="5" fillId="3" borderId="2" xfId="0" applyNumberFormat="1" applyFont="1" applyFill="1" applyBorder="1"/>
    <xf numFmtId="165" fontId="9" fillId="5" borderId="2" xfId="0" applyNumberFormat="1" applyFont="1" applyFill="1" applyBorder="1"/>
    <xf numFmtId="165" fontId="6" fillId="5" borderId="2" xfId="0" applyNumberFormat="1" applyFont="1" applyFill="1" applyBorder="1"/>
    <xf numFmtId="168" fontId="5" fillId="3" borderId="2" xfId="0" applyNumberFormat="1" applyFont="1" applyFill="1" applyBorder="1"/>
    <xf numFmtId="0" fontId="9" fillId="5" borderId="2" xfId="0" applyFont="1" applyFill="1" applyBorder="1"/>
    <xf numFmtId="0" fontId="8" fillId="6" borderId="2" xfId="0" applyFont="1" applyFill="1" applyBorder="1"/>
    <xf numFmtId="164" fontId="6" fillId="5" borderId="2" xfId="0" applyNumberFormat="1" applyFont="1" applyFill="1" applyBorder="1"/>
    <xf numFmtId="165" fontId="5" fillId="3" borderId="2" xfId="0" applyNumberFormat="1" applyFont="1" applyFill="1" applyBorder="1"/>
    <xf numFmtId="169" fontId="6" fillId="5" borderId="2" xfId="0" applyNumberFormat="1" applyFont="1" applyFill="1" applyBorder="1"/>
    <xf numFmtId="164" fontId="9" fillId="5" borderId="2" xfId="0" applyNumberFormat="1" applyFont="1" applyFill="1" applyBorder="1"/>
    <xf numFmtId="167" fontId="6" fillId="5" borderId="2" xfId="0" applyNumberFormat="1" applyFont="1" applyFill="1" applyBorder="1"/>
    <xf numFmtId="167" fontId="9" fillId="5" borderId="2" xfId="0" applyNumberFormat="1" applyFont="1" applyFill="1" applyBorder="1"/>
    <xf numFmtId="164" fontId="7" fillId="5" borderId="2" xfId="0" applyNumberFormat="1" applyFont="1" applyFill="1" applyBorder="1"/>
    <xf numFmtId="168" fontId="9" fillId="5" borderId="2" xfId="0" applyNumberFormat="1" applyFont="1" applyFill="1" applyBorder="1"/>
    <xf numFmtId="170" fontId="6" fillId="5" borderId="2" xfId="0" applyNumberFormat="1" applyFont="1" applyFill="1" applyBorder="1"/>
    <xf numFmtId="168" fontId="6" fillId="5" borderId="2" xfId="0" applyNumberFormat="1" applyFont="1" applyFill="1" applyBorder="1"/>
    <xf numFmtId="4" fontId="9" fillId="5" borderId="2" xfId="0" applyNumberFormat="1" applyFont="1" applyFill="1" applyBorder="1"/>
    <xf numFmtId="169" fontId="9" fillId="5" borderId="2" xfId="0" applyNumberFormat="1" applyFont="1" applyFill="1" applyBorder="1"/>
    <xf numFmtId="164" fontId="6" fillId="6" borderId="2" xfId="0" applyNumberFormat="1" applyFont="1" applyFill="1" applyBorder="1"/>
    <xf numFmtId="0" fontId="5" fillId="3" borderId="2" xfId="0" applyFont="1" applyFill="1" applyBorder="1" applyAlignment="1">
      <alignment vertical="top" wrapText="1"/>
    </xf>
    <xf numFmtId="0" fontId="10" fillId="2" borderId="2" xfId="0" applyFont="1" applyFill="1" applyBorder="1"/>
    <xf numFmtId="0" fontId="6" fillId="6" borderId="2" xfId="0" applyFont="1" applyFill="1" applyBorder="1" applyAlignment="1">
      <alignment vertical="top"/>
    </xf>
    <xf numFmtId="0" fontId="3" fillId="6" borderId="2" xfId="0" applyFont="1" applyFill="1" applyBorder="1" applyAlignment="1">
      <alignment vertical="top" wrapText="1"/>
    </xf>
    <xf numFmtId="14" fontId="5" fillId="3" borderId="2" xfId="0" applyNumberFormat="1" applyFont="1" applyFill="1" applyBorder="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heetViews>
  <sheetFormatPr defaultColWidth="14.44140625" defaultRowHeight="15" customHeight="1" x14ac:dyDescent="0.3"/>
  <cols>
    <col min="1" max="1" width="52" customWidth="1"/>
    <col min="2" max="2" width="62" customWidth="1"/>
    <col min="3" max="8" width="15" customWidth="1"/>
    <col min="9" max="26" width="8.6640625" customWidth="1"/>
  </cols>
  <sheetData>
    <row r="1" spans="1:8" ht="24" customHeight="1" x14ac:dyDescent="0.3">
      <c r="A1" s="1" t="s">
        <v>0</v>
      </c>
      <c r="B1" s="2"/>
      <c r="C1" s="2"/>
      <c r="D1" s="2"/>
      <c r="E1" s="2"/>
      <c r="F1" s="2"/>
      <c r="G1" s="2"/>
      <c r="H1" s="2"/>
    </row>
    <row r="2" spans="1:8" ht="14.4" x14ac:dyDescent="0.3">
      <c r="A2" s="3" t="s">
        <v>3</v>
      </c>
    </row>
    <row r="4" spans="1:8" ht="14.4" x14ac:dyDescent="0.3">
      <c r="A4" s="4" t="s">
        <v>5</v>
      </c>
    </row>
    <row r="5" spans="1:8" ht="14.4" x14ac:dyDescent="0.3">
      <c r="A5" s="5" t="s">
        <v>9</v>
      </c>
      <c r="B5" s="6" t="s">
        <v>11</v>
      </c>
    </row>
    <row r="6" spans="1:8" ht="14.4" x14ac:dyDescent="0.3">
      <c r="A6" s="8" t="s">
        <v>12</v>
      </c>
      <c r="B6" s="6" t="s">
        <v>13</v>
      </c>
    </row>
    <row r="7" spans="1:8" ht="14.4" x14ac:dyDescent="0.3">
      <c r="A7" s="9" t="s">
        <v>15</v>
      </c>
      <c r="B7" s="6" t="s">
        <v>16</v>
      </c>
    </row>
    <row r="8" spans="1:8" ht="14.4" x14ac:dyDescent="0.3">
      <c r="A8" s="11" t="s">
        <v>18</v>
      </c>
      <c r="B8" s="6" t="s">
        <v>20</v>
      </c>
    </row>
    <row r="10" spans="1:8" ht="14.4" x14ac:dyDescent="0.3">
      <c r="A10" s="4" t="s">
        <v>21</v>
      </c>
    </row>
    <row r="11" spans="1:8" ht="14.4" x14ac:dyDescent="0.3">
      <c r="A11" s="12" t="s">
        <v>22</v>
      </c>
      <c r="B11" s="6" t="s">
        <v>24</v>
      </c>
    </row>
    <row r="12" spans="1:8" ht="14.4" x14ac:dyDescent="0.3">
      <c r="A12" s="12" t="s">
        <v>27</v>
      </c>
      <c r="B12" s="6" t="s">
        <v>28</v>
      </c>
    </row>
    <row r="13" spans="1:8" ht="14.4" x14ac:dyDescent="0.3">
      <c r="A13" s="12" t="s">
        <v>29</v>
      </c>
      <c r="B13" s="6" t="s">
        <v>30</v>
      </c>
    </row>
    <row r="14" spans="1:8" ht="14.4" x14ac:dyDescent="0.3">
      <c r="A14" s="12" t="s">
        <v>31</v>
      </c>
      <c r="B14" s="6" t="s">
        <v>32</v>
      </c>
    </row>
    <row r="15" spans="1:8" ht="14.4" x14ac:dyDescent="0.3">
      <c r="A15" s="12" t="s">
        <v>33</v>
      </c>
      <c r="B15" s="6" t="s">
        <v>34</v>
      </c>
    </row>
    <row r="16" spans="1:8" ht="14.4" x14ac:dyDescent="0.3">
      <c r="A16" s="12" t="s">
        <v>35</v>
      </c>
      <c r="B16" s="6" t="s">
        <v>36</v>
      </c>
    </row>
    <row r="18" spans="1:1" ht="14.4" x14ac:dyDescent="0.3">
      <c r="A18" s="4" t="s">
        <v>37</v>
      </c>
    </row>
    <row r="19" spans="1:1" ht="14.4" x14ac:dyDescent="0.3">
      <c r="A19" s="6" t="s">
        <v>38</v>
      </c>
    </row>
    <row r="20" spans="1:1" ht="14.4" x14ac:dyDescent="0.3">
      <c r="A20" s="6" t="s">
        <v>39</v>
      </c>
    </row>
    <row r="21" spans="1:1" ht="15.75" customHeight="1" x14ac:dyDescent="0.3">
      <c r="A21" s="6" t="s">
        <v>40</v>
      </c>
    </row>
    <row r="22" spans="1:1" ht="15.75" customHeight="1" x14ac:dyDescent="0.3"/>
    <row r="23" spans="1:1" ht="15.75" customHeight="1" x14ac:dyDescent="0.3">
      <c r="A23" s="3" t="s">
        <v>43</v>
      </c>
    </row>
    <row r="24" spans="1:1" ht="15.75" customHeight="1" x14ac:dyDescent="0.3">
      <c r="A24" s="3" t="s">
        <v>45</v>
      </c>
    </row>
    <row r="25" spans="1:1" ht="15.75" customHeight="1" x14ac:dyDescent="0.3"/>
    <row r="26" spans="1:1" ht="15.75" customHeight="1" x14ac:dyDescent="0.3"/>
    <row r="27" spans="1:1" ht="15.75" customHeight="1" x14ac:dyDescent="0.3"/>
    <row r="28" spans="1:1" ht="15.75" customHeight="1" x14ac:dyDescent="0.3"/>
    <row r="29" spans="1:1" ht="15.75" customHeight="1" x14ac:dyDescent="0.3"/>
    <row r="30" spans="1:1" ht="15.75" customHeight="1" x14ac:dyDescent="0.3"/>
    <row r="31" spans="1:1" ht="15.75" customHeight="1" x14ac:dyDescent="0.3"/>
    <row r="32" spans="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sheetViews>
  <sheetFormatPr defaultColWidth="14.44140625" defaultRowHeight="15" customHeight="1" x14ac:dyDescent="0.3"/>
  <cols>
    <col min="1" max="1" width="46" customWidth="1"/>
    <col min="2" max="3" width="16" customWidth="1"/>
    <col min="4" max="4" width="52" customWidth="1"/>
    <col min="5" max="8" width="15" customWidth="1"/>
    <col min="9" max="26" width="8.6640625" customWidth="1"/>
  </cols>
  <sheetData>
    <row r="1" spans="1:8" ht="24" customHeight="1" x14ac:dyDescent="0.3">
      <c r="A1" s="1" t="s">
        <v>2</v>
      </c>
      <c r="B1" s="2"/>
      <c r="C1" s="2"/>
      <c r="D1" s="2"/>
      <c r="E1" s="2"/>
      <c r="F1" s="2"/>
      <c r="G1" s="2"/>
      <c r="H1" s="2"/>
    </row>
    <row r="2" spans="1:8" ht="14.4" x14ac:dyDescent="0.3">
      <c r="A2" s="3" t="s">
        <v>4</v>
      </c>
    </row>
    <row r="4" spans="1:8" ht="14.4" x14ac:dyDescent="0.3">
      <c r="A4" s="7" t="s">
        <v>6</v>
      </c>
      <c r="B4" s="10"/>
      <c r="C4" s="10"/>
      <c r="D4" s="10"/>
      <c r="E4" s="10"/>
      <c r="F4" s="10"/>
      <c r="G4" s="10"/>
      <c r="H4" s="10"/>
    </row>
    <row r="5" spans="1:8" ht="14.4" x14ac:dyDescent="0.3">
      <c r="A5" s="6" t="s">
        <v>19</v>
      </c>
      <c r="B5" s="5" t="s">
        <v>421</v>
      </c>
      <c r="D5" s="3" t="s">
        <v>23</v>
      </c>
    </row>
    <row r="6" spans="1:8" ht="14.4" x14ac:dyDescent="0.3">
      <c r="A6" s="6" t="s">
        <v>26</v>
      </c>
      <c r="B6" s="13" t="s">
        <v>422</v>
      </c>
      <c r="D6" s="3" t="s">
        <v>41</v>
      </c>
    </row>
    <row r="8" spans="1:8" ht="14.4" x14ac:dyDescent="0.3">
      <c r="A8" s="7" t="s">
        <v>44</v>
      </c>
      <c r="B8" s="10"/>
      <c r="C8" s="10"/>
      <c r="D8" s="10"/>
      <c r="E8" s="10"/>
      <c r="F8" s="10"/>
      <c r="G8" s="10"/>
      <c r="H8" s="10"/>
    </row>
    <row r="9" spans="1:8" ht="14.4" x14ac:dyDescent="0.3">
      <c r="A9" s="6" t="s">
        <v>46</v>
      </c>
      <c r="B9" s="14">
        <v>500</v>
      </c>
      <c r="C9" s="3" t="s">
        <v>50</v>
      </c>
    </row>
    <row r="10" spans="1:8" ht="14.4" x14ac:dyDescent="0.3">
      <c r="A10" s="6" t="s">
        <v>52</v>
      </c>
      <c r="B10" s="15">
        <v>0.32</v>
      </c>
      <c r="D10" s="3" t="s">
        <v>54</v>
      </c>
    </row>
    <row r="11" spans="1:8" ht="14.4" x14ac:dyDescent="0.3">
      <c r="A11" s="6" t="s">
        <v>55</v>
      </c>
      <c r="B11" s="17">
        <f>B9*B10</f>
        <v>160</v>
      </c>
      <c r="C11" s="3" t="s">
        <v>50</v>
      </c>
      <c r="D11" s="3" t="s">
        <v>59</v>
      </c>
    </row>
    <row r="12" spans="1:8" ht="14.4" x14ac:dyDescent="0.3">
      <c r="A12" s="6" t="s">
        <v>61</v>
      </c>
      <c r="B12" s="17">
        <f>B9-B11</f>
        <v>340</v>
      </c>
      <c r="C12" s="3" t="s">
        <v>50</v>
      </c>
      <c r="D12" s="3" t="s">
        <v>67</v>
      </c>
    </row>
    <row r="14" spans="1:8" ht="14.4" x14ac:dyDescent="0.3">
      <c r="A14" s="7" t="s">
        <v>68</v>
      </c>
      <c r="B14" s="10"/>
      <c r="C14" s="10"/>
      <c r="D14" s="10"/>
      <c r="E14" s="10"/>
      <c r="F14" s="10"/>
      <c r="G14" s="10"/>
      <c r="H14" s="10"/>
    </row>
    <row r="15" spans="1:8" ht="14.4" x14ac:dyDescent="0.3">
      <c r="A15" s="6" t="s">
        <v>69</v>
      </c>
      <c r="B15" s="20">
        <v>0.2</v>
      </c>
      <c r="D15" s="3" t="s">
        <v>73</v>
      </c>
    </row>
    <row r="16" spans="1:8" ht="14.4" x14ac:dyDescent="0.3">
      <c r="A16" s="6" t="s">
        <v>75</v>
      </c>
      <c r="B16" s="20">
        <v>1.2</v>
      </c>
    </row>
    <row r="17" spans="1:4" ht="14.4" x14ac:dyDescent="0.3">
      <c r="A17" s="6" t="s">
        <v>77</v>
      </c>
      <c r="B17" s="20">
        <v>0.2</v>
      </c>
      <c r="D17" s="3" t="s">
        <v>78</v>
      </c>
    </row>
    <row r="18" spans="1:4" ht="14.4" x14ac:dyDescent="0.3">
      <c r="A18" s="6" t="s">
        <v>79</v>
      </c>
      <c r="B18" s="20">
        <v>0.02</v>
      </c>
      <c r="D18" s="3" t="s">
        <v>80</v>
      </c>
    </row>
    <row r="19" spans="1:4" ht="14.4" x14ac:dyDescent="0.3">
      <c r="A19" s="6" t="s">
        <v>81</v>
      </c>
      <c r="B19" s="14">
        <v>2.5</v>
      </c>
      <c r="C19" s="3" t="s">
        <v>82</v>
      </c>
    </row>
    <row r="20" spans="1:4" ht="14.4" x14ac:dyDescent="0.3">
      <c r="A20" s="6" t="s">
        <v>83</v>
      </c>
      <c r="B20" s="14">
        <v>1200</v>
      </c>
      <c r="C20" s="3" t="s">
        <v>84</v>
      </c>
      <c r="D20" s="3" t="s">
        <v>85</v>
      </c>
    </row>
    <row r="21" spans="1:4" ht="15.75" customHeight="1" x14ac:dyDescent="0.3">
      <c r="A21" s="6" t="s">
        <v>86</v>
      </c>
      <c r="B21" s="14">
        <v>400</v>
      </c>
      <c r="C21" s="3" t="s">
        <v>84</v>
      </c>
      <c r="D21" s="3" t="s">
        <v>87</v>
      </c>
    </row>
    <row r="22" spans="1:4" ht="15.75" customHeight="1" x14ac:dyDescent="0.3">
      <c r="A22" s="6" t="s">
        <v>88</v>
      </c>
      <c r="B22" s="14">
        <v>80</v>
      </c>
      <c r="C22" s="3" t="s">
        <v>84</v>
      </c>
    </row>
    <row r="23" spans="1:4" ht="15.75" customHeight="1" x14ac:dyDescent="0.3">
      <c r="A23" s="6" t="s">
        <v>89</v>
      </c>
      <c r="B23" s="22">
        <f>B20*B17/1000000</f>
        <v>2.4000000000000001E-4</v>
      </c>
    </row>
    <row r="24" spans="1:4" ht="15.75" customHeight="1" x14ac:dyDescent="0.3">
      <c r="A24" s="6" t="s">
        <v>92</v>
      </c>
      <c r="B24" s="22">
        <f>(B19-1)*B20*B18/1000000</f>
        <v>3.6000000000000001E-5</v>
      </c>
    </row>
    <row r="25" spans="1:4" ht="15.75" customHeight="1" x14ac:dyDescent="0.3">
      <c r="A25" s="6" t="s">
        <v>95</v>
      </c>
      <c r="B25" s="22">
        <f>B19*B21*B15/1000000</f>
        <v>2.0000000000000001E-4</v>
      </c>
    </row>
    <row r="26" spans="1:4" ht="15.75" customHeight="1" x14ac:dyDescent="0.3">
      <c r="A26" s="6" t="s">
        <v>100</v>
      </c>
      <c r="B26" s="22">
        <f>B19*B22*B16/1000000</f>
        <v>2.4000000000000001E-4</v>
      </c>
    </row>
    <row r="27" spans="1:4" ht="15.75" customHeight="1" x14ac:dyDescent="0.3">
      <c r="A27" s="12" t="s">
        <v>104</v>
      </c>
      <c r="B27" s="21">
        <f>SUM(B23:B26)</f>
        <v>7.1599999999999995E-4</v>
      </c>
    </row>
    <row r="28" spans="1:4" ht="15.75" customHeight="1" x14ac:dyDescent="0.3">
      <c r="A28" s="6" t="s">
        <v>110</v>
      </c>
      <c r="B28" s="22">
        <f>B19*(B20+B21)*B15/1000000+B26</f>
        <v>1.0400000000000001E-3</v>
      </c>
    </row>
    <row r="29" spans="1:4" ht="15.75" customHeight="1" x14ac:dyDescent="0.3">
      <c r="A29" s="6" t="s">
        <v>113</v>
      </c>
      <c r="B29" s="26">
        <f>IF(B28=0,0,1-B27/B28)</f>
        <v>0.31153846153846165</v>
      </c>
      <c r="D29" s="3" t="s">
        <v>116</v>
      </c>
    </row>
    <row r="30" spans="1:4" ht="15.75" customHeight="1" x14ac:dyDescent="0.3">
      <c r="A30" s="6" t="s">
        <v>117</v>
      </c>
      <c r="B30" s="14">
        <v>1</v>
      </c>
      <c r="D30" s="3" t="s">
        <v>118</v>
      </c>
    </row>
    <row r="31" spans="1:4" ht="15.75" customHeight="1" x14ac:dyDescent="0.3">
      <c r="A31" s="12" t="s">
        <v>119</v>
      </c>
      <c r="B31" s="21">
        <f>B27*(1-B30*0.5)</f>
        <v>3.5799999999999997E-4</v>
      </c>
    </row>
    <row r="32" spans="1:4" ht="15.75" customHeight="1" x14ac:dyDescent="0.3"/>
    <row r="33" spans="1:8" ht="15.75" customHeight="1" x14ac:dyDescent="0.3">
      <c r="A33" s="7" t="s">
        <v>120</v>
      </c>
      <c r="B33" s="10"/>
      <c r="C33" s="10"/>
      <c r="D33" s="10"/>
      <c r="E33" s="10"/>
      <c r="F33" s="10"/>
      <c r="G33" s="10"/>
      <c r="H33" s="10"/>
    </row>
    <row r="34" spans="1:8" ht="15.75" customHeight="1" x14ac:dyDescent="0.3">
      <c r="A34" s="6" t="s">
        <v>122</v>
      </c>
      <c r="B34" s="27">
        <v>0</v>
      </c>
      <c r="D34" s="3" t="s">
        <v>123</v>
      </c>
    </row>
    <row r="35" spans="1:8" ht="15.75" customHeight="1" x14ac:dyDescent="0.3">
      <c r="A35" s="6" t="s">
        <v>124</v>
      </c>
      <c r="B35" s="19">
        <v>0</v>
      </c>
      <c r="C35" s="3" t="s">
        <v>125</v>
      </c>
    </row>
    <row r="36" spans="1:8" ht="15.75" customHeight="1" x14ac:dyDescent="0.3">
      <c r="A36" s="6" t="s">
        <v>126</v>
      </c>
      <c r="B36" s="20">
        <v>0</v>
      </c>
      <c r="D36" s="3" t="s">
        <v>127</v>
      </c>
    </row>
    <row r="37" spans="1:8" ht="15.75" customHeight="1" x14ac:dyDescent="0.3">
      <c r="A37" s="6" t="s">
        <v>128</v>
      </c>
      <c r="B37" s="14">
        <v>0</v>
      </c>
      <c r="C37" s="3" t="s">
        <v>129</v>
      </c>
      <c r="D37" s="3" t="s">
        <v>130</v>
      </c>
    </row>
    <row r="38" spans="1:8" ht="15.75" customHeight="1" x14ac:dyDescent="0.3">
      <c r="A38" s="6" t="s">
        <v>131</v>
      </c>
      <c r="B38" s="22">
        <f>B34*B35+B36*B37/1000000</f>
        <v>0</v>
      </c>
    </row>
    <row r="39" spans="1:8" ht="15.75" customHeight="1" x14ac:dyDescent="0.3"/>
    <row r="40" spans="1:8" ht="15.75" customHeight="1" x14ac:dyDescent="0.3">
      <c r="A40" s="7" t="s">
        <v>133</v>
      </c>
      <c r="B40" s="10"/>
      <c r="C40" s="10"/>
      <c r="D40" s="10"/>
      <c r="E40" s="10"/>
      <c r="F40" s="10"/>
      <c r="G40" s="10"/>
      <c r="H40" s="10"/>
    </row>
    <row r="41" spans="1:8" ht="15.75" customHeight="1" x14ac:dyDescent="0.3">
      <c r="A41" s="6" t="s">
        <v>134</v>
      </c>
      <c r="B41" s="27">
        <v>1.2E-2</v>
      </c>
      <c r="D41" s="3" t="s">
        <v>135</v>
      </c>
    </row>
    <row r="42" spans="1:8" ht="15.75" customHeight="1" x14ac:dyDescent="0.3">
      <c r="A42" s="6" t="s">
        <v>136</v>
      </c>
      <c r="B42" s="27">
        <v>0</v>
      </c>
    </row>
    <row r="43" spans="1:8" ht="15.75" customHeight="1" x14ac:dyDescent="0.3">
      <c r="A43" s="6" t="s">
        <v>137</v>
      </c>
      <c r="B43" s="22">
        <f>B41+B42*B35</f>
        <v>1.2E-2</v>
      </c>
    </row>
    <row r="44" spans="1:8" ht="15.75" customHeight="1" x14ac:dyDescent="0.3"/>
    <row r="45" spans="1:8" ht="15.75" customHeight="1" x14ac:dyDescent="0.3">
      <c r="A45" s="7" t="s">
        <v>140</v>
      </c>
      <c r="B45" s="10"/>
      <c r="C45" s="10"/>
      <c r="D45" s="10"/>
      <c r="E45" s="10"/>
      <c r="F45" s="10"/>
      <c r="G45" s="10"/>
      <c r="H45" s="10"/>
    </row>
    <row r="46" spans="1:8" ht="15.75" customHeight="1" x14ac:dyDescent="0.3">
      <c r="A46" s="6" t="s">
        <v>143</v>
      </c>
      <c r="B46" s="15">
        <v>0.08</v>
      </c>
      <c r="D46" s="3" t="s">
        <v>144</v>
      </c>
    </row>
    <row r="47" spans="1:8" ht="15.75" customHeight="1" x14ac:dyDescent="0.3">
      <c r="A47" s="6" t="s">
        <v>145</v>
      </c>
      <c r="B47" s="22">
        <f>(B31+B38)*B46</f>
        <v>2.8639999999999997E-5</v>
      </c>
    </row>
    <row r="48" spans="1:8" ht="15.75" customHeight="1" x14ac:dyDescent="0.3"/>
    <row r="49" spans="1:8" ht="15.75" customHeight="1" x14ac:dyDescent="0.3">
      <c r="A49" s="7" t="s">
        <v>146</v>
      </c>
      <c r="B49" s="10"/>
      <c r="C49" s="10"/>
      <c r="D49" s="10"/>
      <c r="E49" s="10"/>
      <c r="F49" s="10"/>
      <c r="G49" s="10"/>
      <c r="H49" s="10"/>
    </row>
    <row r="50" spans="1:8" ht="15.75" customHeight="1" x14ac:dyDescent="0.3">
      <c r="A50" s="6" t="s">
        <v>147</v>
      </c>
      <c r="B50" s="20">
        <v>3.12</v>
      </c>
      <c r="D50" s="3" t="s">
        <v>148</v>
      </c>
    </row>
    <row r="51" spans="1:8" ht="15.75" customHeight="1" x14ac:dyDescent="0.3">
      <c r="A51" s="6" t="s">
        <v>149</v>
      </c>
      <c r="B51" s="15">
        <v>0.1</v>
      </c>
      <c r="D51" s="3" t="s">
        <v>150</v>
      </c>
    </row>
    <row r="52" spans="1:8" ht="15.75" customHeight="1" x14ac:dyDescent="0.3">
      <c r="A52" s="6" t="s">
        <v>152</v>
      </c>
      <c r="B52" s="19">
        <v>3</v>
      </c>
      <c r="C52" s="3" t="s">
        <v>125</v>
      </c>
    </row>
    <row r="53" spans="1:8" ht="15.75" customHeight="1" x14ac:dyDescent="0.3">
      <c r="A53" s="6" t="s">
        <v>153</v>
      </c>
      <c r="B53" s="19">
        <v>6</v>
      </c>
      <c r="C53" s="3" t="s">
        <v>125</v>
      </c>
    </row>
    <row r="54" spans="1:8" ht="15.75" customHeight="1" x14ac:dyDescent="0.3">
      <c r="A54" s="6" t="s">
        <v>154</v>
      </c>
      <c r="B54" s="30">
        <f>B9*B51*(B52/60)*B50</f>
        <v>7.8000000000000007</v>
      </c>
    </row>
    <row r="55" spans="1:8" ht="15.75" customHeight="1" x14ac:dyDescent="0.3">
      <c r="A55" s="6" t="s">
        <v>156</v>
      </c>
      <c r="B55" s="30">
        <f>IF(B6="B",B12*(B53/60)*B50,0)</f>
        <v>0</v>
      </c>
      <c r="D55" s="3" t="s">
        <v>161</v>
      </c>
    </row>
    <row r="56" spans="1:8" ht="15.75" customHeight="1" x14ac:dyDescent="0.3">
      <c r="A56" s="12" t="s">
        <v>162</v>
      </c>
      <c r="B56" s="31">
        <f>B54+B55</f>
        <v>7.8000000000000007</v>
      </c>
    </row>
    <row r="57" spans="1:8" ht="15.75" customHeight="1" x14ac:dyDescent="0.3"/>
    <row r="58" spans="1:8" ht="15.75" customHeight="1" x14ac:dyDescent="0.3">
      <c r="A58" s="7" t="s">
        <v>166</v>
      </c>
      <c r="B58" s="10"/>
      <c r="C58" s="10"/>
      <c r="D58" s="10"/>
      <c r="E58" s="10"/>
      <c r="F58" s="10"/>
      <c r="G58" s="10"/>
      <c r="H58" s="10"/>
    </row>
    <row r="59" spans="1:8" ht="15.75" customHeight="1" x14ac:dyDescent="0.3">
      <c r="A59" s="6" t="s">
        <v>167</v>
      </c>
      <c r="B59" s="20">
        <v>15</v>
      </c>
      <c r="D59" s="3" t="s">
        <v>168</v>
      </c>
    </row>
    <row r="60" spans="1:8" ht="15.75" customHeight="1" x14ac:dyDescent="0.3"/>
    <row r="61" spans="1:8" ht="15.75" customHeight="1" x14ac:dyDescent="0.3">
      <c r="A61" s="7" t="s">
        <v>169</v>
      </c>
      <c r="B61" s="10"/>
      <c r="C61" s="10"/>
      <c r="D61" s="10"/>
      <c r="E61" s="10"/>
      <c r="F61" s="10"/>
      <c r="G61" s="10"/>
      <c r="H61" s="10"/>
    </row>
    <row r="62" spans="1:8" ht="15.75" customHeight="1" x14ac:dyDescent="0.3">
      <c r="A62" s="6" t="s">
        <v>170</v>
      </c>
      <c r="B62" s="30">
        <f>B9*(B31+B38+B43+B47)</f>
        <v>6.1933200000000008</v>
      </c>
    </row>
    <row r="63" spans="1:8" ht="15.75" customHeight="1" x14ac:dyDescent="0.3">
      <c r="A63" s="6" t="s">
        <v>172</v>
      </c>
      <c r="B63" s="30">
        <f>B56</f>
        <v>7.8000000000000007</v>
      </c>
    </row>
    <row r="64" spans="1:8" ht="15.75" customHeight="1" x14ac:dyDescent="0.3">
      <c r="A64" s="6" t="s">
        <v>173</v>
      </c>
      <c r="B64" s="30">
        <f>B59</f>
        <v>15</v>
      </c>
    </row>
    <row r="65" spans="1:8" ht="15.75" customHeight="1" x14ac:dyDescent="0.3">
      <c r="A65" s="6" t="s">
        <v>174</v>
      </c>
      <c r="B65" s="30">
        <f>B62+B63+B64</f>
        <v>28.993320000000001</v>
      </c>
    </row>
    <row r="66" spans="1:8" ht="15.75" customHeight="1" x14ac:dyDescent="0.3">
      <c r="A66" s="12" t="s">
        <v>179</v>
      </c>
      <c r="B66" s="21">
        <f>IF(B11=0,0,(B62+B63)/B11)</f>
        <v>8.7458250000000001E-2</v>
      </c>
      <c r="C66" s="3" t="s">
        <v>64</v>
      </c>
      <c r="D66" s="3" t="s">
        <v>182</v>
      </c>
    </row>
    <row r="67" spans="1:8" ht="15.75" customHeight="1" x14ac:dyDescent="0.3">
      <c r="A67" s="12" t="s">
        <v>183</v>
      </c>
      <c r="B67" s="21">
        <f>IF(B11=0,0,B65/B11)</f>
        <v>0.18120825000000002</v>
      </c>
      <c r="C67" s="3" t="s">
        <v>64</v>
      </c>
    </row>
    <row r="68" spans="1:8" ht="15.75" customHeight="1" x14ac:dyDescent="0.3">
      <c r="A68" s="6" t="s">
        <v>188</v>
      </c>
      <c r="B68" s="14">
        <v>26100</v>
      </c>
      <c r="C68" s="3" t="s">
        <v>189</v>
      </c>
      <c r="D68" s="3" t="s">
        <v>190</v>
      </c>
    </row>
    <row r="69" spans="1:8" ht="15.75" customHeight="1" x14ac:dyDescent="0.3">
      <c r="A69" s="6" t="s">
        <v>191</v>
      </c>
      <c r="B69" s="34">
        <f>B66*B68</f>
        <v>2282.6603249999998</v>
      </c>
      <c r="C69" s="3" t="s">
        <v>195</v>
      </c>
    </row>
    <row r="70" spans="1:8" ht="15.75" customHeight="1" x14ac:dyDescent="0.3"/>
    <row r="71" spans="1:8" ht="15.75" customHeight="1" x14ac:dyDescent="0.3">
      <c r="A71" s="7" t="s">
        <v>196</v>
      </c>
      <c r="B71" s="10"/>
      <c r="C71" s="10"/>
      <c r="D71" s="10"/>
      <c r="E71" s="10"/>
      <c r="F71" s="10"/>
      <c r="G71" s="10"/>
      <c r="H71" s="10"/>
    </row>
    <row r="72" spans="1:8" ht="15.75" customHeight="1" x14ac:dyDescent="0.3">
      <c r="A72" s="6" t="s">
        <v>198</v>
      </c>
      <c r="B72" s="30">
        <f>B9*B31</f>
        <v>0.17899999999999999</v>
      </c>
      <c r="C72" s="26">
        <f t="shared" ref="C72:C77" si="0">IF($B$65=0,0,B72/$B$65)</f>
        <v>6.1738359042703625E-3</v>
      </c>
    </row>
    <row r="73" spans="1:8" ht="15.75" customHeight="1" x14ac:dyDescent="0.3">
      <c r="A73" s="6" t="s">
        <v>206</v>
      </c>
      <c r="B73" s="30">
        <f>B9*B38</f>
        <v>0</v>
      </c>
      <c r="C73" s="26">
        <f t="shared" si="0"/>
        <v>0</v>
      </c>
    </row>
    <row r="74" spans="1:8" ht="15.75" customHeight="1" x14ac:dyDescent="0.3">
      <c r="A74" s="6" t="s">
        <v>208</v>
      </c>
      <c r="B74" s="30">
        <f>B9*B43</f>
        <v>6</v>
      </c>
      <c r="C74" s="26">
        <f t="shared" si="0"/>
        <v>0.2069442202548725</v>
      </c>
    </row>
    <row r="75" spans="1:8" ht="15.75" customHeight="1" x14ac:dyDescent="0.3">
      <c r="A75" s="6" t="s">
        <v>211</v>
      </c>
      <c r="B75" s="30">
        <f>B9*B47</f>
        <v>1.4319999999999998E-2</v>
      </c>
      <c r="C75" s="26">
        <f t="shared" si="0"/>
        <v>4.9390687234162896E-4</v>
      </c>
    </row>
    <row r="76" spans="1:8" ht="15.75" customHeight="1" x14ac:dyDescent="0.3">
      <c r="A76" s="6" t="s">
        <v>214</v>
      </c>
      <c r="B76" s="30">
        <f>B56</f>
        <v>7.8000000000000007</v>
      </c>
      <c r="C76" s="26">
        <f t="shared" si="0"/>
        <v>0.26902748633133428</v>
      </c>
    </row>
    <row r="77" spans="1:8" ht="15.75" customHeight="1" x14ac:dyDescent="0.3">
      <c r="A77" s="6" t="s">
        <v>219</v>
      </c>
      <c r="B77" s="30">
        <f>B59</f>
        <v>15</v>
      </c>
      <c r="C77" s="26">
        <f t="shared" si="0"/>
        <v>0.51736055063718123</v>
      </c>
    </row>
    <row r="78" spans="1:8" ht="15.75" customHeight="1" x14ac:dyDescent="0.3">
      <c r="A78" s="3" t="s">
        <v>221</v>
      </c>
    </row>
    <row r="79" spans="1:8" ht="15.75" customHeight="1" x14ac:dyDescent="0.3"/>
    <row r="80" spans="1:8"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B6" xr:uid="{00000000-0002-0000-0100-000000000000}">
      <formula1>"A,B"</formula1>
    </dataValidation>
  </dataValidations>
  <pageMargins left="0.75" right="0.75" top="1" bottom="1"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sheetViews>
  <sheetFormatPr defaultColWidth="14.44140625" defaultRowHeight="15" customHeight="1" x14ac:dyDescent="0.3"/>
  <cols>
    <col min="1" max="1" width="46" customWidth="1"/>
    <col min="2" max="3" width="16" customWidth="1"/>
    <col min="4" max="4" width="54" customWidth="1"/>
    <col min="5" max="8" width="15" customWidth="1"/>
    <col min="9" max="26" width="8.6640625" customWidth="1"/>
  </cols>
  <sheetData>
    <row r="1" spans="1:8" ht="24" customHeight="1" x14ac:dyDescent="0.3">
      <c r="A1" s="1" t="s">
        <v>1</v>
      </c>
      <c r="B1" s="2"/>
      <c r="C1" s="2"/>
      <c r="D1" s="2"/>
      <c r="E1" s="2"/>
      <c r="F1" s="2"/>
      <c r="G1" s="2"/>
      <c r="H1" s="2"/>
    </row>
    <row r="2" spans="1:8" ht="14.4" x14ac:dyDescent="0.3">
      <c r="A2" s="3" t="s">
        <v>7</v>
      </c>
    </row>
    <row r="4" spans="1:8" ht="14.4" x14ac:dyDescent="0.3">
      <c r="A4" s="7" t="s">
        <v>10</v>
      </c>
      <c r="B4" s="10"/>
      <c r="C4" s="10"/>
      <c r="D4" s="10"/>
      <c r="E4" s="10"/>
      <c r="F4" s="10"/>
      <c r="G4" s="10"/>
      <c r="H4" s="10"/>
    </row>
    <row r="5" spans="1:8" ht="14.4" x14ac:dyDescent="0.3">
      <c r="A5" s="6" t="s">
        <v>53</v>
      </c>
      <c r="B5" s="18">
        <f>'1_Cost_Job'!B66</f>
        <v>8.7458250000000001E-2</v>
      </c>
      <c r="C5" s="3" t="s">
        <v>64</v>
      </c>
    </row>
    <row r="6" spans="1:8" ht="14.4" x14ac:dyDescent="0.3">
      <c r="A6" s="6" t="s">
        <v>66</v>
      </c>
      <c r="B6" s="19">
        <v>3</v>
      </c>
      <c r="C6" s="3" t="s">
        <v>70</v>
      </c>
      <c r="D6" s="3" t="s">
        <v>72</v>
      </c>
    </row>
    <row r="7" spans="1:8" ht="14.4" x14ac:dyDescent="0.3">
      <c r="A7" s="12" t="s">
        <v>74</v>
      </c>
      <c r="B7" s="21">
        <f>B5*B6</f>
        <v>0.26237474999999999</v>
      </c>
      <c r="C7" s="3" t="s">
        <v>64</v>
      </c>
    </row>
    <row r="9" spans="1:8" ht="14.4" x14ac:dyDescent="0.3">
      <c r="A9" s="7" t="s">
        <v>90</v>
      </c>
      <c r="B9" s="10"/>
      <c r="C9" s="10"/>
      <c r="D9" s="10"/>
      <c r="E9" s="10"/>
      <c r="F9" s="10"/>
      <c r="G9" s="10"/>
      <c r="H9" s="10"/>
    </row>
    <row r="10" spans="1:8" ht="14.4" x14ac:dyDescent="0.3">
      <c r="A10" s="6" t="s">
        <v>91</v>
      </c>
      <c r="B10" s="23">
        <v>260</v>
      </c>
      <c r="D10" s="3" t="s">
        <v>93</v>
      </c>
    </row>
    <row r="11" spans="1:8" ht="14.4" x14ac:dyDescent="0.3">
      <c r="A11" s="6" t="s">
        <v>94</v>
      </c>
      <c r="B11" s="14">
        <v>160</v>
      </c>
      <c r="C11" s="3" t="s">
        <v>50</v>
      </c>
    </row>
    <row r="12" spans="1:8" ht="14.4" x14ac:dyDescent="0.3">
      <c r="A12" s="6" t="s">
        <v>96</v>
      </c>
      <c r="B12" s="22">
        <f>IF(B11=0,0,B10*0.1/B11)</f>
        <v>0.16250000000000001</v>
      </c>
      <c r="C12" s="3" t="s">
        <v>64</v>
      </c>
    </row>
    <row r="13" spans="1:8" ht="14.4" x14ac:dyDescent="0.3">
      <c r="A13" s="6" t="s">
        <v>108</v>
      </c>
      <c r="B13" s="22">
        <f>IF(B11=0,0,B10*0.25/B11)</f>
        <v>0.40625</v>
      </c>
      <c r="C13" s="3" t="s">
        <v>64</v>
      </c>
    </row>
    <row r="14" spans="1:8" ht="14.4" x14ac:dyDescent="0.3">
      <c r="A14" s="6" t="s">
        <v>114</v>
      </c>
      <c r="B14" s="23">
        <v>548</v>
      </c>
      <c r="D14" s="3" t="s">
        <v>115</v>
      </c>
    </row>
    <row r="15" spans="1:8" ht="14.4" x14ac:dyDescent="0.3">
      <c r="A15" s="6" t="s">
        <v>121</v>
      </c>
      <c r="B15" s="22">
        <f>IF(B11=0,0,B14*0.5/B11)</f>
        <v>1.7124999999999999</v>
      </c>
      <c r="C15" s="3" t="s">
        <v>64</v>
      </c>
    </row>
    <row r="16" spans="1:8" ht="14.4" x14ac:dyDescent="0.3">
      <c r="A16" s="6" t="s">
        <v>132</v>
      </c>
      <c r="B16" s="22">
        <f>IF(B11=0,0,B14*0.7/B11)</f>
        <v>2.3975</v>
      </c>
      <c r="C16" s="3" t="s">
        <v>64</v>
      </c>
    </row>
    <row r="18" spans="1:8" ht="14.4" x14ac:dyDescent="0.3">
      <c r="A18" s="7" t="s">
        <v>138</v>
      </c>
      <c r="B18" s="10"/>
      <c r="C18" s="10"/>
      <c r="D18" s="10"/>
      <c r="E18" s="10"/>
      <c r="F18" s="10"/>
      <c r="G18" s="10"/>
      <c r="H18" s="10"/>
    </row>
    <row r="19" spans="1:8" ht="14.4" x14ac:dyDescent="0.3">
      <c r="A19" s="6" t="s">
        <v>139</v>
      </c>
      <c r="B19" s="27">
        <v>0.3831</v>
      </c>
      <c r="C19" s="3" t="s">
        <v>64</v>
      </c>
      <c r="D19" s="3" t="s">
        <v>141</v>
      </c>
    </row>
    <row r="20" spans="1:8" ht="14.4" x14ac:dyDescent="0.3">
      <c r="A20" s="6" t="s">
        <v>142</v>
      </c>
      <c r="B20" s="28">
        <f>IF(B5=0,0,B19/B5)</f>
        <v>4.380375779300409</v>
      </c>
    </row>
    <row r="21" spans="1:8" ht="15.75" customHeight="1" x14ac:dyDescent="0.3">
      <c r="A21" s="12" t="s">
        <v>151</v>
      </c>
      <c r="B21" s="29">
        <f>IF(B19=0,0,(B19-B5)/B19)</f>
        <v>0.77170908379013303</v>
      </c>
    </row>
    <row r="22" spans="1:8" ht="15.75" customHeight="1" x14ac:dyDescent="0.3">
      <c r="A22" s="6" t="s">
        <v>155</v>
      </c>
      <c r="B22" s="8" t="str">
        <f>IF(B20&gt;=B6,"OK — ĐẠT","KHÔNG ĐẠT — quay lại tab 1")</f>
        <v>OK — ĐẠT</v>
      </c>
    </row>
    <row r="23" spans="1:8" ht="15.75" customHeight="1" x14ac:dyDescent="0.3">
      <c r="A23" s="6" t="s">
        <v>158</v>
      </c>
      <c r="B23" s="8" t="str">
        <f>IF(B21&gt;=0.6,"OK — AN TOÀN (≥60%)",IF(B21&gt;=0.5,"CẢNH BÁO (50–60%)","NGUY HIỂM (&lt;50%)"))</f>
        <v>OK — AN TOÀN (≥60%)</v>
      </c>
    </row>
    <row r="24" spans="1:8" ht="15.75" customHeight="1" x14ac:dyDescent="0.3">
      <c r="A24" s="6" t="s">
        <v>165</v>
      </c>
      <c r="B24" s="8" t="str">
        <f>IF(B21&gt;0.85,"NGHI NGỜ — nhiều khả năng bạn quên một khoản chi phí","OK")</f>
        <v>OK</v>
      </c>
    </row>
    <row r="25" spans="1:8" ht="15.75" customHeight="1" x14ac:dyDescent="0.3">
      <c r="A25" s="6" t="s">
        <v>171</v>
      </c>
      <c r="B25" s="8" t="str">
        <f>IF(AND(B19&gt;=B7,B19&lt;=MAX(B13,B16)),"OK — trong vùng giá bán","XEM LẠI — ngoài vùng giá sàn/trần")</f>
        <v>OK — trong vùng giá bán</v>
      </c>
    </row>
    <row r="26" spans="1:8" ht="15.75" customHeight="1" x14ac:dyDescent="0.3"/>
    <row r="27" spans="1:8" ht="15.75" customHeight="1" x14ac:dyDescent="0.3">
      <c r="A27" s="7" t="s">
        <v>175</v>
      </c>
      <c r="B27" s="10"/>
      <c r="C27" s="10"/>
      <c r="D27" s="10"/>
      <c r="E27" s="10"/>
      <c r="F27" s="10"/>
      <c r="G27" s="10"/>
      <c r="H27" s="10"/>
    </row>
    <row r="28" spans="1:8" ht="15.75" customHeight="1" x14ac:dyDescent="0.3">
      <c r="A28" s="3" t="s">
        <v>177</v>
      </c>
    </row>
    <row r="29" spans="1:8" ht="15.75" customHeight="1" x14ac:dyDescent="0.3">
      <c r="A29" s="6" t="s">
        <v>180</v>
      </c>
      <c r="B29" s="18">
        <f>'1_Cost_Job'!B31+'1_Cost_Job'!B38+'1_Cost_Job'!B43+'1_Cost_Job'!B47</f>
        <v>1.2386640000000001E-2</v>
      </c>
    </row>
    <row r="30" spans="1:8" ht="15.75" customHeight="1" x14ac:dyDescent="0.3">
      <c r="A30" s="6" t="s">
        <v>186</v>
      </c>
      <c r="B30" s="18">
        <f>'1_Cost_Job'!B51*('1_Cost_Job'!B52/60)*'1_Cost_Job'!B50</f>
        <v>1.5600000000000003E-2</v>
      </c>
    </row>
    <row r="31" spans="1:8" ht="15.75" customHeight="1" x14ac:dyDescent="0.3">
      <c r="A31" s="6" t="s">
        <v>194</v>
      </c>
      <c r="B31" s="18">
        <f>IF('1_Cost_Job'!B6="B",('1_Cost_Job'!B53/60)*'1_Cost_Job'!B50,0)</f>
        <v>0</v>
      </c>
    </row>
    <row r="32" spans="1:8" ht="15.75" customHeight="1" x14ac:dyDescent="0.3">
      <c r="A32" s="6" t="s">
        <v>204</v>
      </c>
      <c r="B32" s="15">
        <v>0.6</v>
      </c>
    </row>
    <row r="33" spans="1:8" ht="15.75" customHeight="1" x14ac:dyDescent="0.3">
      <c r="A33" s="12" t="s">
        <v>205</v>
      </c>
      <c r="B33" s="29">
        <f>IF((B19*(1-B32)+B31)=0,0,(B29+B30+B31)/(B19*(1-B32)+B31))</f>
        <v>0.18263273296789351</v>
      </c>
      <c r="D33" s="3" t="s">
        <v>212</v>
      </c>
    </row>
    <row r="34" spans="1:8" ht="15.75" customHeight="1" x14ac:dyDescent="0.3">
      <c r="A34" s="6" t="s">
        <v>213</v>
      </c>
      <c r="B34" s="32">
        <f>'1_Cost_Job'!B10</f>
        <v>0.32</v>
      </c>
    </row>
    <row r="35" spans="1:8" ht="15.75" customHeight="1" x14ac:dyDescent="0.3">
      <c r="A35" s="6" t="s">
        <v>222</v>
      </c>
      <c r="B35" s="8" t="str">
        <f>IF(B34&gt;=B33,"ĐẠT — mô hình có lãi lành mạnh","CHƯA ĐẠT — phải tăng containment, tăng giá, hoặc đổi biến thể HITL")</f>
        <v>ĐẠT — mô hình có lãi lành mạnh</v>
      </c>
    </row>
    <row r="36" spans="1:8" ht="15.75" customHeight="1" x14ac:dyDescent="0.3"/>
    <row r="37" spans="1:8" ht="15.75" customHeight="1" x14ac:dyDescent="0.3">
      <c r="A37" s="7" t="s">
        <v>224</v>
      </c>
      <c r="B37" s="10"/>
      <c r="C37" s="10"/>
      <c r="D37" s="10"/>
      <c r="E37" s="10"/>
      <c r="F37" s="10"/>
      <c r="G37" s="10"/>
      <c r="H37" s="10"/>
    </row>
    <row r="38" spans="1:8" ht="15.75" customHeight="1" x14ac:dyDescent="0.3">
      <c r="A38" s="25" t="s">
        <v>225</v>
      </c>
      <c r="B38" s="25" t="s">
        <v>227</v>
      </c>
      <c r="C38" s="25" t="s">
        <v>228</v>
      </c>
      <c r="D38" s="25" t="s">
        <v>229</v>
      </c>
    </row>
    <row r="39" spans="1:8" ht="15.75" customHeight="1" x14ac:dyDescent="0.3">
      <c r="A39" s="38">
        <v>0.5</v>
      </c>
      <c r="B39" s="22">
        <f t="shared" ref="B39:B44" si="0">($B$29+$B$30+$B$31*(1-A39))/A39</f>
        <v>5.5973280000000007E-2</v>
      </c>
      <c r="C39" s="26">
        <f t="shared" ref="C39:C44" si="1">IF($B$19=0,0,1-B39/$B$19)</f>
        <v>0.85389381362568517</v>
      </c>
      <c r="D39" s="8" t="str">
        <f t="shared" ref="D39:D44" si="2">IF(C39&gt;=0.6,"An toàn",IF(C39&gt;=0.5,"Cảnh báo","Nguy hiểm"))</f>
        <v>An toàn</v>
      </c>
    </row>
    <row r="40" spans="1:8" ht="15.75" customHeight="1" x14ac:dyDescent="0.3">
      <c r="A40" s="38">
        <v>0.6</v>
      </c>
      <c r="B40" s="22">
        <f t="shared" si="0"/>
        <v>4.6644400000000009E-2</v>
      </c>
      <c r="C40" s="26">
        <f t="shared" si="1"/>
        <v>0.87824484468807096</v>
      </c>
      <c r="D40" s="8" t="str">
        <f t="shared" si="2"/>
        <v>An toàn</v>
      </c>
    </row>
    <row r="41" spans="1:8" ht="15.75" customHeight="1" x14ac:dyDescent="0.3">
      <c r="A41" s="38">
        <v>0.7</v>
      </c>
      <c r="B41" s="22">
        <f t="shared" si="0"/>
        <v>3.9980914285714292E-2</v>
      </c>
      <c r="C41" s="26">
        <f t="shared" si="1"/>
        <v>0.89563843830406087</v>
      </c>
      <c r="D41" s="8" t="str">
        <f t="shared" si="2"/>
        <v>An toàn</v>
      </c>
    </row>
    <row r="42" spans="1:8" ht="15.75" customHeight="1" x14ac:dyDescent="0.3">
      <c r="A42" s="38">
        <v>0.8</v>
      </c>
      <c r="B42" s="22">
        <f t="shared" si="0"/>
        <v>3.4983300000000002E-2</v>
      </c>
      <c r="C42" s="26">
        <f t="shared" si="1"/>
        <v>0.9086836335160533</v>
      </c>
      <c r="D42" s="8" t="str">
        <f t="shared" si="2"/>
        <v>An toàn</v>
      </c>
    </row>
    <row r="43" spans="1:8" ht="15.75" customHeight="1" x14ac:dyDescent="0.3">
      <c r="A43" s="38">
        <v>0.9</v>
      </c>
      <c r="B43" s="22">
        <f t="shared" si="0"/>
        <v>3.1096266666666671E-2</v>
      </c>
      <c r="C43" s="26">
        <f t="shared" si="1"/>
        <v>0.91882989645871405</v>
      </c>
      <c r="D43" s="8" t="str">
        <f t="shared" si="2"/>
        <v>An toàn</v>
      </c>
    </row>
    <row r="44" spans="1:8" ht="15.75" customHeight="1" x14ac:dyDescent="0.3">
      <c r="A44" s="38">
        <v>0.95</v>
      </c>
      <c r="B44" s="22">
        <f t="shared" si="0"/>
        <v>2.9459621052631585E-2</v>
      </c>
      <c r="C44" s="26">
        <f t="shared" si="1"/>
        <v>0.92310200717141322</v>
      </c>
      <c r="D44" s="8" t="str">
        <f t="shared" si="2"/>
        <v>An toàn</v>
      </c>
    </row>
    <row r="45" spans="1:8" ht="15.75" customHeight="1" x14ac:dyDescent="0.3"/>
    <row r="46" spans="1:8" ht="15.75" customHeight="1" x14ac:dyDescent="0.3">
      <c r="A46" s="3" t="s">
        <v>280</v>
      </c>
    </row>
    <row r="47" spans="1:8" ht="15.75" customHeight="1" x14ac:dyDescent="0.3"/>
    <row r="48" spans="1:8" ht="15.75" customHeight="1" x14ac:dyDescent="0.3">
      <c r="A48" s="7" t="s">
        <v>282</v>
      </c>
      <c r="B48" s="10"/>
      <c r="C48" s="10"/>
      <c r="D48" s="10"/>
      <c r="E48" s="10"/>
      <c r="F48" s="10"/>
      <c r="G48" s="10"/>
      <c r="H48" s="10"/>
    </row>
    <row r="49" spans="1:2" ht="15.75" customHeight="1" x14ac:dyDescent="0.3">
      <c r="A49" s="12" t="s">
        <v>227</v>
      </c>
      <c r="B49" s="21">
        <f>B5</f>
        <v>8.7458250000000001E-2</v>
      </c>
    </row>
    <row r="50" spans="1:2" ht="15.75" customHeight="1" x14ac:dyDescent="0.3">
      <c r="A50" s="12" t="s">
        <v>289</v>
      </c>
      <c r="B50" s="21">
        <f>B7</f>
        <v>0.26237474999999999</v>
      </c>
    </row>
    <row r="51" spans="1:2" ht="15.75" customHeight="1" x14ac:dyDescent="0.3">
      <c r="A51" s="12" t="s">
        <v>290</v>
      </c>
      <c r="B51" s="21">
        <f>B19</f>
        <v>0.3831</v>
      </c>
    </row>
    <row r="52" spans="1:2" ht="15.75" customHeight="1" x14ac:dyDescent="0.3">
      <c r="A52" s="12" t="s">
        <v>228</v>
      </c>
      <c r="B52" s="29">
        <f>B21</f>
        <v>0.77170908379013303</v>
      </c>
    </row>
    <row r="53" spans="1:2" ht="15.75" customHeight="1" x14ac:dyDescent="0.3">
      <c r="A53" s="12" t="s">
        <v>291</v>
      </c>
      <c r="B53" s="29">
        <f>B33</f>
        <v>0.18263273296789351</v>
      </c>
    </row>
    <row r="54" spans="1:2" ht="15.75" customHeight="1" x14ac:dyDescent="0.3"/>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defaultColWidth="14.44140625" defaultRowHeight="15" customHeight="1" x14ac:dyDescent="0.3"/>
  <cols>
    <col min="1" max="1" width="72" customWidth="1"/>
    <col min="2" max="2" width="12" customWidth="1"/>
    <col min="3" max="3" width="50" customWidth="1"/>
    <col min="4" max="4" width="46" customWidth="1"/>
    <col min="5" max="8" width="15" customWidth="1"/>
    <col min="9" max="26" width="8.6640625" customWidth="1"/>
  </cols>
  <sheetData>
    <row r="1" spans="1:8" ht="24" customHeight="1" x14ac:dyDescent="0.3">
      <c r="A1" s="1" t="s">
        <v>8</v>
      </c>
      <c r="B1" s="2"/>
      <c r="C1" s="2"/>
      <c r="D1" s="2"/>
      <c r="E1" s="2"/>
      <c r="F1" s="2"/>
      <c r="G1" s="2"/>
      <c r="H1" s="2"/>
    </row>
    <row r="2" spans="1:8" ht="14.4" x14ac:dyDescent="0.3">
      <c r="A2" s="3" t="s">
        <v>14</v>
      </c>
    </row>
    <row r="4" spans="1:8" ht="14.4" x14ac:dyDescent="0.3">
      <c r="A4" s="7" t="s">
        <v>17</v>
      </c>
      <c r="B4" s="10"/>
      <c r="C4" s="10"/>
      <c r="D4" s="10"/>
      <c r="E4" s="10"/>
      <c r="F4" s="10"/>
      <c r="G4" s="10"/>
      <c r="H4" s="10"/>
    </row>
    <row r="5" spans="1:8" ht="14.4" x14ac:dyDescent="0.3">
      <c r="A5" s="6" t="s">
        <v>25</v>
      </c>
      <c r="B5" s="13">
        <v>2</v>
      </c>
    </row>
    <row r="6" spans="1:8" ht="14.4" x14ac:dyDescent="0.3">
      <c r="A6" s="6" t="s">
        <v>42</v>
      </c>
      <c r="B6" s="13">
        <v>2</v>
      </c>
    </row>
    <row r="7" spans="1:8" ht="14.4" x14ac:dyDescent="0.3">
      <c r="A7" s="6" t="s">
        <v>47</v>
      </c>
      <c r="B7" s="13">
        <v>0</v>
      </c>
    </row>
    <row r="8" spans="1:8" ht="14.4" x14ac:dyDescent="0.3">
      <c r="A8" s="6" t="s">
        <v>48</v>
      </c>
      <c r="B8" s="13">
        <v>2</v>
      </c>
    </row>
    <row r="9" spans="1:8" ht="14.4" x14ac:dyDescent="0.3">
      <c r="A9" s="6" t="s">
        <v>49</v>
      </c>
      <c r="B9" s="13">
        <v>1</v>
      </c>
    </row>
    <row r="10" spans="1:8" ht="14.4" x14ac:dyDescent="0.3">
      <c r="A10" s="12" t="s">
        <v>51</v>
      </c>
      <c r="B10" s="16">
        <f>SUM(B5:B9)</f>
        <v>7</v>
      </c>
    </row>
    <row r="12" spans="1:8" ht="14.4" x14ac:dyDescent="0.3">
      <c r="A12" s="7" t="s">
        <v>56</v>
      </c>
      <c r="B12" s="10"/>
      <c r="C12" s="10"/>
      <c r="D12" s="10"/>
      <c r="E12" s="10"/>
      <c r="F12" s="10"/>
      <c r="G12" s="10"/>
      <c r="H12" s="10"/>
    </row>
    <row r="13" spans="1:8" ht="14.4" x14ac:dyDescent="0.3">
      <c r="A13" s="6" t="s">
        <v>57</v>
      </c>
      <c r="B13" s="13">
        <v>0</v>
      </c>
    </row>
    <row r="14" spans="1:8" ht="14.4" x14ac:dyDescent="0.3">
      <c r="A14" s="6" t="s">
        <v>58</v>
      </c>
      <c r="B14" s="13">
        <v>1</v>
      </c>
    </row>
    <row r="15" spans="1:8" ht="14.4" x14ac:dyDescent="0.3">
      <c r="A15" s="6" t="s">
        <v>60</v>
      </c>
      <c r="B15" s="13">
        <v>2</v>
      </c>
    </row>
    <row r="16" spans="1:8" ht="14.4" x14ac:dyDescent="0.3">
      <c r="A16" s="6" t="s">
        <v>62</v>
      </c>
      <c r="B16" s="13">
        <v>0</v>
      </c>
    </row>
    <row r="17" spans="1:8" ht="14.4" x14ac:dyDescent="0.3">
      <c r="A17" s="6" t="s">
        <v>63</v>
      </c>
      <c r="B17" s="13">
        <v>0</v>
      </c>
    </row>
    <row r="18" spans="1:8" ht="14.4" x14ac:dyDescent="0.3">
      <c r="A18" s="12" t="s">
        <v>65</v>
      </c>
      <c r="B18" s="16">
        <f>SUM(B13:B17)</f>
        <v>3</v>
      </c>
    </row>
    <row r="20" spans="1:8" ht="14.4" x14ac:dyDescent="0.3">
      <c r="A20" s="7" t="s">
        <v>71</v>
      </c>
      <c r="B20" s="10"/>
      <c r="C20" s="10"/>
      <c r="D20" s="10"/>
      <c r="E20" s="10"/>
      <c r="F20" s="10"/>
      <c r="G20" s="10"/>
      <c r="H20" s="10"/>
    </row>
    <row r="21" spans="1:8" ht="15.75" customHeight="1" x14ac:dyDescent="0.3">
      <c r="A21" s="12" t="s">
        <v>76</v>
      </c>
      <c r="B21" s="24" t="str">
        <f>IF(AND(B10&gt;=7,B18&gt;=7),"OUTCOME",IF(AND(B10&gt;=7,B18&lt;7),"USAGE",IF(AND(B10&lt;7,B18&gt;=7),"USAGE (an toàn)","SEAT hoặc HYBRID")))</f>
        <v>USAGE</v>
      </c>
    </row>
    <row r="22" spans="1:8" ht="15.75" customHeight="1" x14ac:dyDescent="0.3">
      <c r="A22" s="3" t="s">
        <v>97</v>
      </c>
    </row>
    <row r="23" spans="1:8" ht="15.75" customHeight="1" x14ac:dyDescent="0.3"/>
    <row r="24" spans="1:8" ht="15.75" customHeight="1" x14ac:dyDescent="0.3">
      <c r="A24" s="7" t="s">
        <v>98</v>
      </c>
      <c r="B24" s="10"/>
      <c r="C24" s="10"/>
      <c r="D24" s="10"/>
      <c r="E24" s="10"/>
      <c r="F24" s="10"/>
      <c r="G24" s="10"/>
      <c r="H24" s="10"/>
    </row>
    <row r="25" spans="1:8" ht="15.75" customHeight="1" x14ac:dyDescent="0.3">
      <c r="A25" s="25" t="s">
        <v>99</v>
      </c>
      <c r="B25" s="25" t="s">
        <v>101</v>
      </c>
      <c r="C25" s="25" t="s">
        <v>102</v>
      </c>
      <c r="D25" s="25" t="s">
        <v>103</v>
      </c>
    </row>
    <row r="26" spans="1:8" ht="15.75" customHeight="1" x14ac:dyDescent="0.3">
      <c r="A26" s="5" t="s">
        <v>423</v>
      </c>
      <c r="B26" s="5" t="s">
        <v>424</v>
      </c>
      <c r="C26" s="5" t="s">
        <v>425</v>
      </c>
      <c r="D26" s="5" t="s">
        <v>426</v>
      </c>
    </row>
    <row r="27" spans="1:8" ht="15.75" customHeight="1" x14ac:dyDescent="0.3">
      <c r="A27" s="5" t="s">
        <v>427</v>
      </c>
      <c r="B27" s="5" t="s">
        <v>428</v>
      </c>
      <c r="C27" s="5" t="s">
        <v>429</v>
      </c>
      <c r="D27" s="5" t="s">
        <v>430</v>
      </c>
    </row>
    <row r="28" spans="1:8" ht="15.75" customHeight="1" x14ac:dyDescent="0.3"/>
    <row r="29" spans="1:8" ht="15.75" customHeight="1" x14ac:dyDescent="0.3">
      <c r="A29" s="7" t="s">
        <v>105</v>
      </c>
      <c r="B29" s="10"/>
      <c r="C29" s="10"/>
      <c r="D29" s="10"/>
      <c r="E29" s="10"/>
      <c r="F29" s="10"/>
      <c r="G29" s="10"/>
      <c r="H29" s="10"/>
    </row>
    <row r="30" spans="1:8" ht="15.75" customHeight="1" x14ac:dyDescent="0.3">
      <c r="A30" s="6" t="s">
        <v>106</v>
      </c>
      <c r="B30" s="5" t="s">
        <v>431</v>
      </c>
    </row>
    <row r="31" spans="1:8" ht="15.75" customHeight="1" x14ac:dyDescent="0.3">
      <c r="A31" s="6" t="s">
        <v>107</v>
      </c>
      <c r="B31" s="5" t="s">
        <v>470</v>
      </c>
    </row>
    <row r="32" spans="1:8" ht="15.75" customHeight="1" x14ac:dyDescent="0.3">
      <c r="A32" s="6" t="s">
        <v>109</v>
      </c>
      <c r="B32" s="5" t="s">
        <v>469</v>
      </c>
    </row>
    <row r="33" spans="1:2" ht="15.75" customHeight="1" x14ac:dyDescent="0.3">
      <c r="A33" s="6" t="s">
        <v>111</v>
      </c>
      <c r="B33" s="5" t="s">
        <v>432</v>
      </c>
    </row>
    <row r="34" spans="1:2" ht="15.75" customHeight="1" x14ac:dyDescent="0.3">
      <c r="A34" s="6" t="s">
        <v>112</v>
      </c>
      <c r="B34" s="5" t="s">
        <v>433</v>
      </c>
    </row>
    <row r="35" spans="1:2" ht="15.75" customHeight="1" x14ac:dyDescent="0.3"/>
    <row r="36" spans="1:2" ht="15.75" customHeight="1" x14ac:dyDescent="0.3"/>
    <row r="37" spans="1:2" ht="15.75" customHeight="1" x14ac:dyDescent="0.3"/>
    <row r="38" spans="1:2" ht="15.75" customHeight="1" x14ac:dyDescent="0.3"/>
    <row r="39" spans="1:2" ht="15.75" customHeight="1" x14ac:dyDescent="0.3"/>
    <row r="40" spans="1:2" ht="15.75" customHeight="1" x14ac:dyDescent="0.3"/>
    <row r="41" spans="1:2" ht="15.75" customHeight="1" x14ac:dyDescent="0.3"/>
    <row r="42" spans="1:2" ht="15.75" customHeight="1" x14ac:dyDescent="0.3"/>
    <row r="43" spans="1:2" ht="15.75" customHeight="1" x14ac:dyDescent="0.3"/>
    <row r="44" spans="1:2" ht="15.75" customHeight="1" x14ac:dyDescent="0.3"/>
    <row r="45" spans="1:2" ht="15.75" customHeight="1" x14ac:dyDescent="0.3"/>
    <row r="46" spans="1:2" ht="15.75" customHeight="1" x14ac:dyDescent="0.3"/>
    <row r="47" spans="1:2" ht="15.75" customHeight="1" x14ac:dyDescent="0.3"/>
    <row r="48" spans="1:2"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sheetViews>
  <sheetFormatPr defaultColWidth="14.44140625" defaultRowHeight="15" customHeight="1" x14ac:dyDescent="0.3"/>
  <cols>
    <col min="1" max="1" width="46" customWidth="1"/>
    <col min="2" max="3" width="16" customWidth="1"/>
    <col min="4" max="4" width="54" customWidth="1"/>
    <col min="5" max="8" width="15" customWidth="1"/>
    <col min="9" max="26" width="8.6640625" customWidth="1"/>
  </cols>
  <sheetData>
    <row r="1" spans="1:8" ht="24" customHeight="1" x14ac:dyDescent="0.3">
      <c r="A1" s="1" t="s">
        <v>157</v>
      </c>
      <c r="B1" s="2"/>
      <c r="C1" s="2"/>
      <c r="D1" s="2"/>
      <c r="E1" s="2"/>
      <c r="F1" s="2"/>
      <c r="G1" s="2"/>
      <c r="H1" s="2"/>
    </row>
    <row r="2" spans="1:8" ht="14.4" x14ac:dyDescent="0.3">
      <c r="A2" s="3" t="s">
        <v>159</v>
      </c>
    </row>
    <row r="4" spans="1:8" ht="14.4" x14ac:dyDescent="0.3">
      <c r="A4" s="7" t="s">
        <v>160</v>
      </c>
      <c r="B4" s="10"/>
      <c r="C4" s="10"/>
      <c r="D4" s="10"/>
      <c r="E4" s="10"/>
      <c r="F4" s="10"/>
      <c r="G4" s="10"/>
      <c r="H4" s="10"/>
    </row>
    <row r="5" spans="1:8" ht="14.4" x14ac:dyDescent="0.3">
      <c r="A5" s="6" t="s">
        <v>163</v>
      </c>
      <c r="B5" s="23">
        <v>61.3</v>
      </c>
    </row>
    <row r="6" spans="1:8" ht="14.4" x14ac:dyDescent="0.3">
      <c r="A6" s="6" t="s">
        <v>164</v>
      </c>
      <c r="B6" s="32">
        <f>'2_Pricing'!B21</f>
        <v>0.77170908379013303</v>
      </c>
    </row>
    <row r="7" spans="1:8" ht="14.4" x14ac:dyDescent="0.3">
      <c r="A7" s="6" t="s">
        <v>176</v>
      </c>
      <c r="B7" s="13" t="s">
        <v>178</v>
      </c>
    </row>
    <row r="8" spans="1:8" ht="14.4" x14ac:dyDescent="0.3">
      <c r="A8" s="6" t="s">
        <v>181</v>
      </c>
      <c r="B8" s="17">
        <f>IF(B7="SMB",12,IF(B7="Mid",18,24))</f>
        <v>12</v>
      </c>
      <c r="C8" s="3" t="s">
        <v>184</v>
      </c>
      <c r="D8" s="3" t="s">
        <v>185</v>
      </c>
    </row>
    <row r="9" spans="1:8" ht="14.4" x14ac:dyDescent="0.3">
      <c r="A9" s="12" t="s">
        <v>187</v>
      </c>
      <c r="B9" s="33">
        <f>B5*B6*B8</f>
        <v>567.66920203602183</v>
      </c>
      <c r="D9" s="3" t="s">
        <v>192</v>
      </c>
    </row>
    <row r="10" spans="1:8" ht="14.4" x14ac:dyDescent="0.3">
      <c r="A10" s="6" t="s">
        <v>193</v>
      </c>
      <c r="B10" s="35">
        <f>B5*12</f>
        <v>735.59999999999991</v>
      </c>
    </row>
    <row r="12" spans="1:8" ht="14.4" x14ac:dyDescent="0.3">
      <c r="A12" s="7" t="s">
        <v>197</v>
      </c>
      <c r="B12" s="10"/>
      <c r="C12" s="10"/>
      <c r="D12" s="10"/>
      <c r="E12" s="10"/>
      <c r="F12" s="10"/>
      <c r="G12" s="10"/>
      <c r="H12" s="10"/>
    </row>
    <row r="13" spans="1:8" ht="14.4" x14ac:dyDescent="0.3">
      <c r="A13" s="6" t="s">
        <v>199</v>
      </c>
      <c r="B13" s="23">
        <v>60000</v>
      </c>
      <c r="D13" s="3" t="s">
        <v>200</v>
      </c>
    </row>
    <row r="14" spans="1:8" ht="14.4" x14ac:dyDescent="0.3">
      <c r="A14" s="6" t="s">
        <v>201</v>
      </c>
      <c r="B14" s="14">
        <v>250</v>
      </c>
      <c r="C14" s="3" t="s">
        <v>202</v>
      </c>
    </row>
    <row r="15" spans="1:8" ht="14.4" x14ac:dyDescent="0.3">
      <c r="A15" s="6" t="s">
        <v>203</v>
      </c>
      <c r="B15" s="17">
        <f>IF(B10=0,0,B13/B10)</f>
        <v>81.566068515497562</v>
      </c>
    </row>
    <row r="16" spans="1:8" ht="14.4" x14ac:dyDescent="0.3">
      <c r="A16" s="12" t="s">
        <v>207</v>
      </c>
      <c r="B16" s="36">
        <f>IF(B14=0,0,B15/B14)</f>
        <v>0.32626427406199027</v>
      </c>
      <c r="C16" s="3" t="s">
        <v>209</v>
      </c>
    </row>
    <row r="17" spans="1:8" ht="14.4" x14ac:dyDescent="0.3">
      <c r="A17" s="6" t="s">
        <v>210</v>
      </c>
      <c r="B17" s="8" t="str">
        <f>IF(B16&lt;=1,"KHẢ THI về mặt số học","BẤT KHẢ THI — ACV quá thấp để nuôi sales rep")</f>
        <v>KHẢ THI về mặt số học</v>
      </c>
    </row>
    <row r="19" spans="1:8" ht="14.4" x14ac:dyDescent="0.3">
      <c r="A19" s="7" t="s">
        <v>215</v>
      </c>
      <c r="B19" s="10"/>
      <c r="C19" s="10"/>
      <c r="D19" s="10"/>
      <c r="E19" s="10"/>
      <c r="F19" s="10"/>
      <c r="G19" s="10"/>
      <c r="H19" s="10"/>
    </row>
    <row r="20" spans="1:8" ht="14.4" x14ac:dyDescent="0.3">
      <c r="A20" s="6" t="s">
        <v>216</v>
      </c>
      <c r="B20" s="23">
        <v>6300</v>
      </c>
      <c r="D20" s="3" t="s">
        <v>217</v>
      </c>
    </row>
    <row r="21" spans="1:8" ht="15.75" customHeight="1" x14ac:dyDescent="0.3">
      <c r="A21" s="6" t="s">
        <v>218</v>
      </c>
      <c r="B21" s="15">
        <v>0.25</v>
      </c>
    </row>
    <row r="22" spans="1:8" ht="15.75" customHeight="1" x14ac:dyDescent="0.3">
      <c r="A22" s="6" t="s">
        <v>220</v>
      </c>
      <c r="B22" s="35">
        <f>IF(B21=0,0,B20/B21)</f>
        <v>25200</v>
      </c>
    </row>
    <row r="23" spans="1:8" ht="15.75" customHeight="1" x14ac:dyDescent="0.3">
      <c r="A23" s="12" t="s">
        <v>223</v>
      </c>
      <c r="B23" s="37">
        <f>IF(B9=0,0,B22/B9)</f>
        <v>44.392050704207335</v>
      </c>
      <c r="D23" s="3" t="s">
        <v>226</v>
      </c>
    </row>
    <row r="24" spans="1:8" ht="15.75" customHeight="1" x14ac:dyDescent="0.3">
      <c r="A24" s="6" t="s">
        <v>222</v>
      </c>
      <c r="B24" s="8" t="str">
        <f>IF(B23&lt;=1,"Motion có sales KHẢ THI",IF(B23&lt;=3,"Căng — cần tăng giá hoặc giảm chi phí bán hàng","KHÔNG KHẢ THI — đi PLG hoặc Partner-Led"))</f>
        <v>KHÔNG KHẢ THI — đi PLG hoặc Partner-Led</v>
      </c>
    </row>
    <row r="25" spans="1:8" ht="15.75" customHeight="1" x14ac:dyDescent="0.3"/>
    <row r="26" spans="1:8" ht="15.75" customHeight="1" x14ac:dyDescent="0.3">
      <c r="A26" s="7" t="s">
        <v>230</v>
      </c>
      <c r="B26" s="10"/>
      <c r="C26" s="10"/>
      <c r="D26" s="10"/>
      <c r="E26" s="10"/>
      <c r="F26" s="10"/>
      <c r="G26" s="10"/>
      <c r="H26" s="10"/>
    </row>
    <row r="27" spans="1:8" ht="15.75" customHeight="1" x14ac:dyDescent="0.3">
      <c r="A27" s="25" t="s">
        <v>231</v>
      </c>
      <c r="B27" s="25" t="s">
        <v>232</v>
      </c>
      <c r="C27" s="25" t="s">
        <v>233</v>
      </c>
      <c r="D27" s="25" t="s">
        <v>234</v>
      </c>
    </row>
    <row r="28" spans="1:8" ht="15.75" customHeight="1" x14ac:dyDescent="0.3">
      <c r="A28" s="6" t="s">
        <v>235</v>
      </c>
      <c r="B28" s="13">
        <v>4</v>
      </c>
      <c r="C28" s="13">
        <v>1</v>
      </c>
      <c r="D28" s="13">
        <v>5</v>
      </c>
    </row>
    <row r="29" spans="1:8" ht="15.75" customHeight="1" x14ac:dyDescent="0.3">
      <c r="A29" s="6" t="s">
        <v>236</v>
      </c>
      <c r="B29" s="13">
        <v>2</v>
      </c>
      <c r="C29" s="13">
        <v>4</v>
      </c>
      <c r="D29" s="13">
        <v>5</v>
      </c>
    </row>
    <row r="30" spans="1:8" ht="15.75" customHeight="1" x14ac:dyDescent="0.3">
      <c r="A30" s="6" t="s">
        <v>237</v>
      </c>
      <c r="B30" s="13">
        <v>3</v>
      </c>
      <c r="C30" s="13">
        <v>2</v>
      </c>
      <c r="D30" s="13">
        <v>4</v>
      </c>
    </row>
    <row r="31" spans="1:8" ht="15.75" customHeight="1" x14ac:dyDescent="0.3">
      <c r="A31" s="6" t="s">
        <v>238</v>
      </c>
      <c r="B31" s="13">
        <v>2</v>
      </c>
      <c r="C31" s="13">
        <v>2</v>
      </c>
      <c r="D31" s="13">
        <v>4</v>
      </c>
    </row>
    <row r="32" spans="1:8" ht="15.75" customHeight="1" x14ac:dyDescent="0.3">
      <c r="A32" s="6" t="s">
        <v>239</v>
      </c>
      <c r="B32" s="13">
        <v>3</v>
      </c>
      <c r="C32" s="13">
        <v>4</v>
      </c>
      <c r="D32" s="13">
        <v>5</v>
      </c>
    </row>
    <row r="33" spans="1:8" ht="15.75" customHeight="1" x14ac:dyDescent="0.3">
      <c r="A33" s="6" t="s">
        <v>240</v>
      </c>
      <c r="B33" s="13">
        <v>3</v>
      </c>
      <c r="C33" s="13">
        <v>3</v>
      </c>
      <c r="D33" s="13">
        <v>4</v>
      </c>
    </row>
    <row r="34" spans="1:8" ht="15.75" customHeight="1" x14ac:dyDescent="0.3">
      <c r="A34" s="12" t="s">
        <v>242</v>
      </c>
      <c r="B34" s="24">
        <f t="shared" ref="B34:D34" si="0">SUM(B28:B33)</f>
        <v>17</v>
      </c>
      <c r="C34" s="24">
        <f t="shared" si="0"/>
        <v>16</v>
      </c>
      <c r="D34" s="24">
        <f t="shared" si="0"/>
        <v>27</v>
      </c>
    </row>
    <row r="35" spans="1:8" ht="15.75" customHeight="1" x14ac:dyDescent="0.3">
      <c r="A35" s="12" t="s">
        <v>245</v>
      </c>
      <c r="B35" s="24" t="str">
        <f>IF(AND(B34&gt;=C34,B34&gt;=D34),"PLG",IF(C34&gt;=D34,"Sales-Led","Partner-Led"))</f>
        <v>Partner-Led</v>
      </c>
    </row>
    <row r="36" spans="1:8" ht="15.75" customHeight="1" x14ac:dyDescent="0.3"/>
    <row r="37" spans="1:8" ht="15.75" customHeight="1" x14ac:dyDescent="0.3">
      <c r="A37" s="7" t="s">
        <v>252</v>
      </c>
      <c r="B37" s="10"/>
      <c r="C37" s="10"/>
      <c r="D37" s="10"/>
      <c r="E37" s="10"/>
      <c r="F37" s="10"/>
      <c r="G37" s="10"/>
      <c r="H37" s="10"/>
    </row>
    <row r="38" spans="1:8" ht="15.75" customHeight="1" x14ac:dyDescent="0.3">
      <c r="A38" s="6" t="s">
        <v>256</v>
      </c>
      <c r="B38" s="5" t="s">
        <v>234</v>
      </c>
      <c r="D38" s="3" t="s">
        <v>258</v>
      </c>
    </row>
    <row r="39" spans="1:8" ht="15.75" customHeight="1" x14ac:dyDescent="0.3">
      <c r="A39" s="6" t="s">
        <v>259</v>
      </c>
      <c r="B39" s="5" t="s">
        <v>434</v>
      </c>
      <c r="D39" s="3" t="s">
        <v>260</v>
      </c>
    </row>
    <row r="40" spans="1:8" ht="15.75" customHeight="1" x14ac:dyDescent="0.3">
      <c r="A40" s="6" t="s">
        <v>261</v>
      </c>
      <c r="B40" s="5" t="s">
        <v>262</v>
      </c>
    </row>
    <row r="41" spans="1:8" ht="15.75" customHeight="1" x14ac:dyDescent="0.3">
      <c r="A41" s="6" t="s">
        <v>263</v>
      </c>
      <c r="B41" s="5" t="s">
        <v>435</v>
      </c>
    </row>
    <row r="42" spans="1:8" ht="15.75" customHeight="1" x14ac:dyDescent="0.3">
      <c r="A42" s="6" t="s">
        <v>265</v>
      </c>
      <c r="B42" s="5" t="s">
        <v>436</v>
      </c>
      <c r="D42" s="3" t="s">
        <v>266</v>
      </c>
    </row>
    <row r="43" spans="1:8" ht="15.75" customHeight="1" x14ac:dyDescent="0.3"/>
    <row r="44" spans="1:8" ht="15.75" customHeight="1" x14ac:dyDescent="0.3"/>
    <row r="45" spans="1:8" ht="15.75" customHeight="1" x14ac:dyDescent="0.3"/>
    <row r="46" spans="1:8" ht="15.75" customHeight="1" x14ac:dyDescent="0.3"/>
    <row r="47" spans="1:8" ht="15.75" customHeight="1" x14ac:dyDescent="0.3"/>
    <row r="48" spans="1: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qref="B7" xr:uid="{00000000-0002-0000-0400-000000000000}">
      <formula1>"SMB,Mid,Enterprise"</formula1>
    </dataValidation>
  </dataValidation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0"/>
  <sheetViews>
    <sheetView workbookViewId="0"/>
  </sheetViews>
  <sheetFormatPr defaultColWidth="14.44140625" defaultRowHeight="15" customHeight="1" x14ac:dyDescent="0.3"/>
  <cols>
    <col min="1" max="1" width="30" customWidth="1"/>
    <col min="2" max="4" width="34" customWidth="1"/>
    <col min="5" max="8" width="15" customWidth="1"/>
    <col min="9" max="26" width="8.6640625" customWidth="1"/>
  </cols>
  <sheetData>
    <row r="1" spans="1:8" ht="24" customHeight="1" x14ac:dyDescent="0.3">
      <c r="A1" s="1" t="s">
        <v>241</v>
      </c>
      <c r="B1" s="2"/>
      <c r="C1" s="2"/>
      <c r="D1" s="2"/>
      <c r="E1" s="2"/>
      <c r="F1" s="2"/>
      <c r="G1" s="2"/>
      <c r="H1" s="2"/>
    </row>
    <row r="2" spans="1:8" ht="14.4" x14ac:dyDescent="0.3">
      <c r="A2" s="3" t="s">
        <v>243</v>
      </c>
    </row>
    <row r="4" spans="1:8" ht="14.4" x14ac:dyDescent="0.3">
      <c r="A4" s="7" t="s">
        <v>244</v>
      </c>
      <c r="B4" s="10"/>
      <c r="C4" s="10"/>
      <c r="D4" s="10"/>
      <c r="E4" s="10"/>
      <c r="F4" s="10"/>
      <c r="G4" s="10"/>
      <c r="H4" s="10"/>
    </row>
    <row r="5" spans="1:8" ht="14.4" x14ac:dyDescent="0.3">
      <c r="A5" s="6" t="s">
        <v>246</v>
      </c>
      <c r="B5" s="5" t="s">
        <v>437</v>
      </c>
    </row>
    <row r="6" spans="1:8" ht="14.4" x14ac:dyDescent="0.3">
      <c r="A6" s="6" t="s">
        <v>247</v>
      </c>
      <c r="B6" s="5" t="s">
        <v>438</v>
      </c>
    </row>
    <row r="7" spans="1:8" ht="14.4" x14ac:dyDescent="0.3">
      <c r="A7" s="6" t="s">
        <v>248</v>
      </c>
      <c r="B7" s="5" t="s">
        <v>439</v>
      </c>
    </row>
    <row r="8" spans="1:8" ht="14.4" x14ac:dyDescent="0.3">
      <c r="A8" s="6" t="s">
        <v>249</v>
      </c>
      <c r="B8" s="5" t="s">
        <v>440</v>
      </c>
      <c r="D8" s="3" t="s">
        <v>250</v>
      </c>
    </row>
    <row r="10" spans="1:8" ht="14.4" x14ac:dyDescent="0.3">
      <c r="A10" s="7" t="s">
        <v>251</v>
      </c>
      <c r="B10" s="10"/>
      <c r="C10" s="10"/>
      <c r="D10" s="10"/>
      <c r="E10" s="10"/>
      <c r="F10" s="10"/>
      <c r="G10" s="10"/>
      <c r="H10" s="10"/>
    </row>
    <row r="11" spans="1:8" ht="14.4" x14ac:dyDescent="0.3">
      <c r="A11" s="25"/>
      <c r="B11" s="25" t="s">
        <v>253</v>
      </c>
      <c r="C11" s="25" t="s">
        <v>254</v>
      </c>
      <c r="D11" s="25" t="s">
        <v>255</v>
      </c>
    </row>
    <row r="12" spans="1:8" ht="30" customHeight="1" x14ac:dyDescent="0.3">
      <c r="A12" s="6" t="s">
        <v>257</v>
      </c>
      <c r="B12" s="39" t="s">
        <v>441</v>
      </c>
      <c r="C12" s="39" t="s">
        <v>442</v>
      </c>
      <c r="D12" s="39" t="s">
        <v>443</v>
      </c>
    </row>
    <row r="13" spans="1:8" ht="30" customHeight="1" x14ac:dyDescent="0.3">
      <c r="A13" s="6" t="s">
        <v>264</v>
      </c>
      <c r="B13" s="39" t="s">
        <v>444</v>
      </c>
      <c r="C13" s="39" t="s">
        <v>445</v>
      </c>
      <c r="D13" s="39" t="s">
        <v>446</v>
      </c>
    </row>
    <row r="14" spans="1:8" ht="30" customHeight="1" x14ac:dyDescent="0.3">
      <c r="A14" s="6" t="s">
        <v>267</v>
      </c>
      <c r="B14" s="39" t="s">
        <v>447</v>
      </c>
      <c r="C14" s="39" t="s">
        <v>448</v>
      </c>
      <c r="D14" s="39" t="s">
        <v>449</v>
      </c>
    </row>
    <row r="15" spans="1:8" ht="30" customHeight="1" x14ac:dyDescent="0.3">
      <c r="A15" s="6" t="s">
        <v>268</v>
      </c>
      <c r="B15" s="39" t="s">
        <v>450</v>
      </c>
      <c r="C15" s="39" t="s">
        <v>451</v>
      </c>
      <c r="D15" s="39" t="s">
        <v>452</v>
      </c>
    </row>
    <row r="16" spans="1:8" ht="30" customHeight="1" x14ac:dyDescent="0.3">
      <c r="A16" s="6" t="s">
        <v>269</v>
      </c>
      <c r="B16" s="39" t="s">
        <v>453</v>
      </c>
      <c r="C16" s="39" t="s">
        <v>454</v>
      </c>
      <c r="D16" s="39" t="s">
        <v>455</v>
      </c>
    </row>
    <row r="17" spans="1:8" ht="30" customHeight="1" x14ac:dyDescent="0.3">
      <c r="A17" s="6" t="s">
        <v>270</v>
      </c>
      <c r="B17" s="39" t="s">
        <v>456</v>
      </c>
      <c r="C17" s="39" t="s">
        <v>457</v>
      </c>
      <c r="D17" s="39" t="s">
        <v>458</v>
      </c>
    </row>
    <row r="18" spans="1:8" ht="30" customHeight="1" x14ac:dyDescent="0.3">
      <c r="A18" s="6" t="s">
        <v>271</v>
      </c>
      <c r="B18" s="39" t="s">
        <v>459</v>
      </c>
      <c r="C18" s="39" t="s">
        <v>460</v>
      </c>
      <c r="D18" s="39" t="s">
        <v>461</v>
      </c>
    </row>
    <row r="19" spans="1:8" ht="14.4" x14ac:dyDescent="0.3">
      <c r="A19" s="3" t="s">
        <v>272</v>
      </c>
    </row>
    <row r="21" spans="1:8" ht="15.75" customHeight="1" x14ac:dyDescent="0.3">
      <c r="A21" s="7" t="s">
        <v>273</v>
      </c>
      <c r="B21" s="10"/>
      <c r="C21" s="10"/>
      <c r="D21" s="10"/>
      <c r="E21" s="10"/>
      <c r="F21" s="10"/>
      <c r="G21" s="10"/>
      <c r="H21" s="10"/>
    </row>
    <row r="22" spans="1:8" ht="15.75" customHeight="1" x14ac:dyDescent="0.3">
      <c r="A22" s="25" t="s">
        <v>274</v>
      </c>
      <c r="B22" s="25" t="s">
        <v>275</v>
      </c>
      <c r="C22" s="25" t="s">
        <v>276</v>
      </c>
      <c r="D22" s="25" t="s">
        <v>277</v>
      </c>
    </row>
    <row r="23" spans="1:8" ht="33.75" customHeight="1" x14ac:dyDescent="0.3">
      <c r="A23" s="6" t="s">
        <v>278</v>
      </c>
      <c r="B23" s="39" t="s">
        <v>462</v>
      </c>
      <c r="C23" s="39" t="s">
        <v>463</v>
      </c>
      <c r="D23" s="39" t="s">
        <v>464</v>
      </c>
    </row>
    <row r="24" spans="1:8" ht="33.75" customHeight="1" x14ac:dyDescent="0.3">
      <c r="A24" s="6" t="s">
        <v>279</v>
      </c>
      <c r="B24" s="39" t="s">
        <v>262</v>
      </c>
      <c r="C24" s="39" t="s">
        <v>465</v>
      </c>
      <c r="D24" s="39" t="s">
        <v>466</v>
      </c>
    </row>
    <row r="25" spans="1:8" ht="33.75" customHeight="1" x14ac:dyDescent="0.3">
      <c r="A25" s="6" t="s">
        <v>281</v>
      </c>
      <c r="B25" s="39" t="s">
        <v>262</v>
      </c>
      <c r="C25" s="39" t="s">
        <v>467</v>
      </c>
      <c r="D25" s="39" t="s">
        <v>468</v>
      </c>
    </row>
    <row r="26" spans="1:8" ht="15.75" customHeight="1" x14ac:dyDescent="0.3">
      <c r="A26" s="3" t="s">
        <v>283</v>
      </c>
    </row>
    <row r="27" spans="1:8" ht="15.75" customHeight="1" x14ac:dyDescent="0.3"/>
    <row r="28" spans="1:8" ht="15.75" customHeight="1" x14ac:dyDescent="0.3">
      <c r="A28" s="7" t="s">
        <v>284</v>
      </c>
      <c r="B28" s="10"/>
      <c r="C28" s="10"/>
      <c r="D28" s="10"/>
      <c r="E28" s="10"/>
      <c r="F28" s="10"/>
      <c r="G28" s="10"/>
      <c r="H28" s="10"/>
    </row>
    <row r="29" spans="1:8" ht="15.75" customHeight="1" x14ac:dyDescent="0.3">
      <c r="A29" s="6" t="s">
        <v>285</v>
      </c>
      <c r="B29" s="5" t="s">
        <v>471</v>
      </c>
    </row>
    <row r="30" spans="1:8" ht="15.75" customHeight="1" x14ac:dyDescent="0.3">
      <c r="A30" s="6" t="s">
        <v>286</v>
      </c>
      <c r="B30" s="5" t="s">
        <v>471</v>
      </c>
    </row>
    <row r="31" spans="1:8" ht="15.75" customHeight="1" x14ac:dyDescent="0.3">
      <c r="A31" s="6" t="s">
        <v>287</v>
      </c>
      <c r="B31" s="5" t="s">
        <v>471</v>
      </c>
    </row>
    <row r="32" spans="1:8" ht="15.75" customHeight="1" x14ac:dyDescent="0.3">
      <c r="A32" s="6" t="s">
        <v>288</v>
      </c>
      <c r="B32" s="5">
        <v>1</v>
      </c>
    </row>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00"/>
  <sheetViews>
    <sheetView workbookViewId="0"/>
  </sheetViews>
  <sheetFormatPr defaultColWidth="14.44140625" defaultRowHeight="15" customHeight="1" x14ac:dyDescent="0.3"/>
  <cols>
    <col min="1" max="1" width="26" customWidth="1"/>
    <col min="2" max="2" width="30" customWidth="1"/>
    <col min="3" max="3" width="20" customWidth="1"/>
    <col min="4" max="4" width="16" customWidth="1"/>
    <col min="5" max="5" width="56" customWidth="1"/>
    <col min="6" max="8" width="15" customWidth="1"/>
    <col min="9" max="26" width="8.6640625" customWidth="1"/>
  </cols>
  <sheetData>
    <row r="1" spans="1:8" ht="24" customHeight="1" x14ac:dyDescent="0.3">
      <c r="A1" s="1" t="s">
        <v>292</v>
      </c>
      <c r="B1" s="2"/>
      <c r="C1" s="2"/>
      <c r="D1" s="2"/>
      <c r="E1" s="2"/>
      <c r="F1" s="2"/>
      <c r="G1" s="2"/>
      <c r="H1" s="2"/>
    </row>
    <row r="2" spans="1:8" ht="14.4" x14ac:dyDescent="0.3">
      <c r="A2" s="3" t="s">
        <v>293</v>
      </c>
    </row>
    <row r="3" spans="1:8" ht="14.4" x14ac:dyDescent="0.3">
      <c r="A3" s="6" t="s">
        <v>294</v>
      </c>
      <c r="B3" s="43">
        <v>46304</v>
      </c>
      <c r="D3" s="3" t="s">
        <v>295</v>
      </c>
    </row>
    <row r="5" spans="1:8" ht="14.4" x14ac:dyDescent="0.3">
      <c r="A5" s="40" t="s">
        <v>296</v>
      </c>
      <c r="B5" s="40" t="s">
        <v>297</v>
      </c>
      <c r="C5" s="40" t="s">
        <v>298</v>
      </c>
      <c r="D5" s="40" t="s">
        <v>299</v>
      </c>
      <c r="E5" s="40" t="s">
        <v>300</v>
      </c>
    </row>
    <row r="6" spans="1:8" ht="14.4" x14ac:dyDescent="0.3">
      <c r="A6" s="41" t="s">
        <v>198</v>
      </c>
      <c r="B6" s="41" t="s">
        <v>301</v>
      </c>
      <c r="C6" s="41" t="s">
        <v>302</v>
      </c>
      <c r="D6" s="41" t="s">
        <v>303</v>
      </c>
      <c r="E6" s="42" t="s">
        <v>304</v>
      </c>
    </row>
    <row r="7" spans="1:8" ht="14.4" x14ac:dyDescent="0.3">
      <c r="A7" s="41" t="s">
        <v>198</v>
      </c>
      <c r="B7" s="41" t="s">
        <v>305</v>
      </c>
      <c r="C7" s="41" t="s">
        <v>306</v>
      </c>
      <c r="D7" s="41" t="s">
        <v>303</v>
      </c>
      <c r="E7" s="42" t="s">
        <v>304</v>
      </c>
    </row>
    <row r="8" spans="1:8" ht="14.4" x14ac:dyDescent="0.3">
      <c r="A8" s="41" t="s">
        <v>198</v>
      </c>
      <c r="B8" s="41" t="s">
        <v>307</v>
      </c>
      <c r="C8" s="41" t="s">
        <v>308</v>
      </c>
      <c r="D8" s="41" t="s">
        <v>303</v>
      </c>
      <c r="E8" s="42" t="s">
        <v>304</v>
      </c>
    </row>
    <row r="9" spans="1:8" ht="14.4" x14ac:dyDescent="0.3">
      <c r="A9" s="41" t="s">
        <v>198</v>
      </c>
      <c r="B9" s="41" t="s">
        <v>309</v>
      </c>
      <c r="C9" s="41" t="s">
        <v>310</v>
      </c>
      <c r="D9" s="41" t="s">
        <v>311</v>
      </c>
      <c r="E9" s="42" t="s">
        <v>304</v>
      </c>
    </row>
    <row r="10" spans="1:8" ht="22.8" x14ac:dyDescent="0.3">
      <c r="A10" s="41" t="s">
        <v>198</v>
      </c>
      <c r="B10" s="41" t="s">
        <v>312</v>
      </c>
      <c r="C10" s="41" t="s">
        <v>313</v>
      </c>
      <c r="D10" s="41" t="s">
        <v>303</v>
      </c>
      <c r="E10" s="42" t="s">
        <v>314</v>
      </c>
    </row>
    <row r="11" spans="1:8" ht="14.4" x14ac:dyDescent="0.3">
      <c r="A11" s="41" t="s">
        <v>198</v>
      </c>
      <c r="B11" s="41" t="s">
        <v>315</v>
      </c>
      <c r="C11" s="41" t="s">
        <v>316</v>
      </c>
      <c r="D11" s="41" t="s">
        <v>303</v>
      </c>
      <c r="E11" s="42" t="s">
        <v>317</v>
      </c>
    </row>
    <row r="12" spans="1:8" ht="14.4" x14ac:dyDescent="0.3">
      <c r="A12" s="41" t="s">
        <v>198</v>
      </c>
      <c r="B12" s="41" t="s">
        <v>318</v>
      </c>
      <c r="C12" s="41" t="s">
        <v>319</v>
      </c>
      <c r="D12" s="41" t="s">
        <v>311</v>
      </c>
      <c r="E12" s="42" t="s">
        <v>317</v>
      </c>
    </row>
    <row r="13" spans="1:8" ht="14.4" x14ac:dyDescent="0.3">
      <c r="A13" s="41" t="s">
        <v>198</v>
      </c>
      <c r="B13" s="41" t="s">
        <v>320</v>
      </c>
      <c r="C13" s="41" t="s">
        <v>321</v>
      </c>
      <c r="D13" s="41" t="s">
        <v>303</v>
      </c>
      <c r="E13" s="42" t="s">
        <v>322</v>
      </c>
    </row>
    <row r="14" spans="1:8" ht="22.8" x14ac:dyDescent="0.3">
      <c r="A14" s="41" t="s">
        <v>198</v>
      </c>
      <c r="B14" s="41" t="s">
        <v>323</v>
      </c>
      <c r="C14" s="41" t="s">
        <v>324</v>
      </c>
      <c r="D14" s="41" t="s">
        <v>303</v>
      </c>
      <c r="E14" s="42" t="s">
        <v>325</v>
      </c>
    </row>
    <row r="15" spans="1:8" ht="14.4" x14ac:dyDescent="0.3">
      <c r="A15" s="41" t="s">
        <v>326</v>
      </c>
      <c r="B15" s="41" t="s">
        <v>327</v>
      </c>
      <c r="C15" s="41" t="s">
        <v>328</v>
      </c>
      <c r="D15" s="41" t="s">
        <v>329</v>
      </c>
      <c r="E15" s="42" t="s">
        <v>330</v>
      </c>
    </row>
    <row r="16" spans="1:8" ht="14.4" x14ac:dyDescent="0.3">
      <c r="A16" s="41" t="s">
        <v>326</v>
      </c>
      <c r="B16" s="41" t="s">
        <v>331</v>
      </c>
      <c r="C16" s="41" t="s">
        <v>332</v>
      </c>
      <c r="D16" s="41" t="s">
        <v>329</v>
      </c>
      <c r="E16" s="42" t="s">
        <v>333</v>
      </c>
    </row>
    <row r="17" spans="1:5" ht="14.4" x14ac:dyDescent="0.3">
      <c r="A17" s="41" t="s">
        <v>326</v>
      </c>
      <c r="B17" s="41" t="s">
        <v>334</v>
      </c>
      <c r="C17" s="41" t="s">
        <v>335</v>
      </c>
      <c r="D17" s="41" t="s">
        <v>329</v>
      </c>
      <c r="E17" s="42" t="s">
        <v>336</v>
      </c>
    </row>
    <row r="18" spans="1:5" ht="14.4" x14ac:dyDescent="0.3">
      <c r="A18" s="41" t="s">
        <v>326</v>
      </c>
      <c r="B18" s="41" t="s">
        <v>337</v>
      </c>
      <c r="C18" s="41" t="s">
        <v>338</v>
      </c>
      <c r="D18" s="41" t="s">
        <v>329</v>
      </c>
      <c r="E18" s="42" t="s">
        <v>317</v>
      </c>
    </row>
    <row r="19" spans="1:5" ht="14.4" x14ac:dyDescent="0.3">
      <c r="A19" s="41" t="s">
        <v>339</v>
      </c>
      <c r="B19" s="41" t="s">
        <v>340</v>
      </c>
      <c r="C19" s="41" t="s">
        <v>341</v>
      </c>
      <c r="D19" s="41" t="s">
        <v>342</v>
      </c>
      <c r="E19" s="42" t="s">
        <v>343</v>
      </c>
    </row>
    <row r="20" spans="1:5" ht="14.4" x14ac:dyDescent="0.3">
      <c r="A20" s="41" t="s">
        <v>339</v>
      </c>
      <c r="B20" s="41" t="s">
        <v>344</v>
      </c>
      <c r="C20" s="41" t="s">
        <v>345</v>
      </c>
      <c r="D20" s="41" t="s">
        <v>342</v>
      </c>
      <c r="E20" s="42" t="s">
        <v>317</v>
      </c>
    </row>
    <row r="21" spans="1:5" ht="15.75" customHeight="1" x14ac:dyDescent="0.3">
      <c r="A21" s="41" t="s">
        <v>339</v>
      </c>
      <c r="B21" s="41" t="s">
        <v>346</v>
      </c>
      <c r="C21" s="41" t="s">
        <v>347</v>
      </c>
      <c r="D21" s="41" t="s">
        <v>342</v>
      </c>
      <c r="E21" s="42" t="s">
        <v>348</v>
      </c>
    </row>
    <row r="22" spans="1:5" ht="15.75" customHeight="1" x14ac:dyDescent="0.3">
      <c r="A22" s="41" t="s">
        <v>339</v>
      </c>
      <c r="B22" s="41" t="s">
        <v>349</v>
      </c>
      <c r="C22" s="41" t="s">
        <v>350</v>
      </c>
      <c r="D22" s="41" t="s">
        <v>342</v>
      </c>
      <c r="E22" s="42" t="s">
        <v>348</v>
      </c>
    </row>
    <row r="23" spans="1:5" ht="15.75" customHeight="1" x14ac:dyDescent="0.3">
      <c r="A23" s="41" t="s">
        <v>351</v>
      </c>
      <c r="B23" s="41" t="s">
        <v>352</v>
      </c>
      <c r="C23" s="41" t="s">
        <v>353</v>
      </c>
      <c r="D23" s="41" t="s">
        <v>354</v>
      </c>
      <c r="E23" s="42" t="s">
        <v>355</v>
      </c>
    </row>
    <row r="24" spans="1:5" ht="15.75" customHeight="1" x14ac:dyDescent="0.3">
      <c r="A24" s="41" t="s">
        <v>356</v>
      </c>
      <c r="B24" s="41" t="s">
        <v>357</v>
      </c>
      <c r="C24" s="41" t="s">
        <v>358</v>
      </c>
      <c r="D24" s="41" t="s">
        <v>359</v>
      </c>
      <c r="E24" s="42" t="s">
        <v>360</v>
      </c>
    </row>
    <row r="25" spans="1:5" ht="15.75" customHeight="1" x14ac:dyDescent="0.3">
      <c r="A25" s="41" t="s">
        <v>356</v>
      </c>
      <c r="B25" s="41" t="s">
        <v>361</v>
      </c>
      <c r="C25" s="41" t="s">
        <v>362</v>
      </c>
      <c r="D25" s="41" t="s">
        <v>359</v>
      </c>
      <c r="E25" s="42" t="s">
        <v>363</v>
      </c>
    </row>
    <row r="26" spans="1:5" ht="15.75" customHeight="1" x14ac:dyDescent="0.3">
      <c r="A26" s="41" t="s">
        <v>356</v>
      </c>
      <c r="B26" s="41" t="s">
        <v>364</v>
      </c>
      <c r="C26" s="41" t="s">
        <v>365</v>
      </c>
      <c r="D26" s="41" t="s">
        <v>311</v>
      </c>
      <c r="E26" s="42" t="s">
        <v>366</v>
      </c>
    </row>
    <row r="27" spans="1:5" ht="15.75" customHeight="1" x14ac:dyDescent="0.3">
      <c r="A27" s="41" t="s">
        <v>367</v>
      </c>
      <c r="B27" s="41" t="s">
        <v>368</v>
      </c>
      <c r="C27" s="41" t="s">
        <v>369</v>
      </c>
      <c r="D27" s="41" t="s">
        <v>370</v>
      </c>
      <c r="E27" s="42" t="s">
        <v>371</v>
      </c>
    </row>
    <row r="28" spans="1:5" ht="15.75" customHeight="1" x14ac:dyDescent="0.3">
      <c r="A28" s="41" t="s">
        <v>367</v>
      </c>
      <c r="B28" s="41" t="s">
        <v>372</v>
      </c>
      <c r="C28" s="41" t="s">
        <v>373</v>
      </c>
      <c r="D28" s="41" t="s">
        <v>370</v>
      </c>
      <c r="E28" s="42" t="s">
        <v>371</v>
      </c>
    </row>
    <row r="29" spans="1:5" ht="15.75" customHeight="1" x14ac:dyDescent="0.3">
      <c r="A29" s="41" t="s">
        <v>367</v>
      </c>
      <c r="B29" s="41" t="s">
        <v>374</v>
      </c>
      <c r="C29" s="41" t="s">
        <v>375</v>
      </c>
      <c r="D29" s="41" t="s">
        <v>376</v>
      </c>
      <c r="E29" s="42" t="s">
        <v>377</v>
      </c>
    </row>
    <row r="30" spans="1:5" ht="15.75" customHeight="1" x14ac:dyDescent="0.3">
      <c r="A30" s="41" t="s">
        <v>367</v>
      </c>
      <c r="B30" s="41" t="s">
        <v>378</v>
      </c>
      <c r="C30" s="41" t="s">
        <v>379</v>
      </c>
      <c r="D30" s="41" t="s">
        <v>380</v>
      </c>
      <c r="E30" s="42" t="s">
        <v>381</v>
      </c>
    </row>
    <row r="31" spans="1:5" ht="15.75" customHeight="1" x14ac:dyDescent="0.3">
      <c r="A31" s="41" t="s">
        <v>367</v>
      </c>
      <c r="B31" s="41" t="s">
        <v>382</v>
      </c>
      <c r="C31" s="41" t="s">
        <v>383</v>
      </c>
      <c r="D31" s="41" t="s">
        <v>384</v>
      </c>
      <c r="E31" s="42" t="s">
        <v>381</v>
      </c>
    </row>
    <row r="32" spans="1:5" ht="15.75" customHeight="1" x14ac:dyDescent="0.3">
      <c r="A32" s="41" t="s">
        <v>367</v>
      </c>
      <c r="B32" s="41" t="s">
        <v>385</v>
      </c>
      <c r="C32" s="41" t="s">
        <v>386</v>
      </c>
      <c r="D32" s="41" t="s">
        <v>380</v>
      </c>
      <c r="E32" s="42" t="s">
        <v>387</v>
      </c>
    </row>
    <row r="33" spans="1:5" ht="15.75" customHeight="1" x14ac:dyDescent="0.3">
      <c r="A33" s="41" t="s">
        <v>367</v>
      </c>
      <c r="B33" s="41" t="s">
        <v>388</v>
      </c>
      <c r="C33" s="41" t="s">
        <v>389</v>
      </c>
      <c r="D33" s="41" t="s">
        <v>390</v>
      </c>
      <c r="E33" s="42" t="s">
        <v>387</v>
      </c>
    </row>
    <row r="34" spans="1:5" ht="15.75" customHeight="1" x14ac:dyDescent="0.3">
      <c r="A34" s="41" t="s">
        <v>367</v>
      </c>
      <c r="B34" s="41" t="s">
        <v>391</v>
      </c>
      <c r="C34" s="41" t="s">
        <v>392</v>
      </c>
      <c r="D34" s="41" t="s">
        <v>393</v>
      </c>
      <c r="E34" s="42" t="s">
        <v>394</v>
      </c>
    </row>
    <row r="35" spans="1:5" ht="15.75" customHeight="1" x14ac:dyDescent="0.3">
      <c r="A35" s="41" t="s">
        <v>395</v>
      </c>
      <c r="B35" s="41" t="s">
        <v>396</v>
      </c>
      <c r="C35" s="41" t="s">
        <v>397</v>
      </c>
      <c r="D35" s="41" t="s">
        <v>398</v>
      </c>
      <c r="E35" s="42" t="s">
        <v>399</v>
      </c>
    </row>
    <row r="36" spans="1:5" ht="15.75" customHeight="1" x14ac:dyDescent="0.3">
      <c r="A36" s="41" t="s">
        <v>395</v>
      </c>
      <c r="B36" s="41" t="s">
        <v>400</v>
      </c>
      <c r="C36" s="41" t="s">
        <v>401</v>
      </c>
      <c r="D36" s="41" t="s">
        <v>398</v>
      </c>
      <c r="E36" s="42" t="s">
        <v>402</v>
      </c>
    </row>
    <row r="37" spans="1:5" ht="15.75" customHeight="1" x14ac:dyDescent="0.3">
      <c r="A37" s="41" t="s">
        <v>395</v>
      </c>
      <c r="B37" s="41" t="s">
        <v>403</v>
      </c>
      <c r="C37" s="41" t="s">
        <v>404</v>
      </c>
      <c r="D37" s="41" t="s">
        <v>398</v>
      </c>
      <c r="E37" s="42" t="s">
        <v>405</v>
      </c>
    </row>
    <row r="38" spans="1:5" ht="15.75" customHeight="1" x14ac:dyDescent="0.3">
      <c r="A38" s="41" t="s">
        <v>395</v>
      </c>
      <c r="B38" s="41" t="s">
        <v>406</v>
      </c>
      <c r="C38" s="41" t="s">
        <v>407</v>
      </c>
      <c r="D38" s="41" t="s">
        <v>184</v>
      </c>
      <c r="E38" s="42" t="s">
        <v>402</v>
      </c>
    </row>
    <row r="39" spans="1:5" ht="15.75" customHeight="1" x14ac:dyDescent="0.3">
      <c r="A39" s="41" t="s">
        <v>395</v>
      </c>
      <c r="B39" s="41" t="s">
        <v>408</v>
      </c>
      <c r="C39" s="41" t="s">
        <v>409</v>
      </c>
      <c r="D39" s="41" t="s">
        <v>410</v>
      </c>
      <c r="E39" s="42" t="s">
        <v>411</v>
      </c>
    </row>
    <row r="40" spans="1:5" ht="15.75" customHeight="1" x14ac:dyDescent="0.3">
      <c r="A40" s="41" t="s">
        <v>395</v>
      </c>
      <c r="B40" s="41" t="s">
        <v>412</v>
      </c>
      <c r="C40" s="41" t="s">
        <v>413</v>
      </c>
      <c r="D40" s="41" t="s">
        <v>414</v>
      </c>
      <c r="E40" s="42" t="s">
        <v>415</v>
      </c>
    </row>
    <row r="41" spans="1:5" ht="15.75" customHeight="1" x14ac:dyDescent="0.3">
      <c r="A41" s="41" t="s">
        <v>395</v>
      </c>
      <c r="B41" s="41" t="s">
        <v>416</v>
      </c>
      <c r="C41" s="41" t="s">
        <v>417</v>
      </c>
      <c r="D41" s="41" t="s">
        <v>418</v>
      </c>
      <c r="E41" s="42" t="s">
        <v>419</v>
      </c>
    </row>
    <row r="42" spans="1:5" ht="15.75" customHeight="1" x14ac:dyDescent="0.3"/>
    <row r="43" spans="1:5" ht="15.75" customHeight="1" x14ac:dyDescent="0.3">
      <c r="A43" s="3" t="s">
        <v>420</v>
      </c>
    </row>
    <row r="44" spans="1:5" ht="15.75" customHeight="1" x14ac:dyDescent="0.3"/>
    <row r="45" spans="1:5" ht="15.75" customHeight="1" x14ac:dyDescent="0.3"/>
    <row r="46" spans="1:5" ht="15.75" customHeight="1" x14ac:dyDescent="0.3"/>
    <row r="47" spans="1:5" ht="15.75" customHeight="1" x14ac:dyDescent="0.3"/>
    <row r="48" spans="1:5"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7</vt:i4>
      </vt:variant>
    </vt:vector>
  </HeadingPairs>
  <TitlesOfParts>
    <vt:vector size="7" baseType="lpstr">
      <vt:lpstr>0_README</vt:lpstr>
      <vt:lpstr>1_Cost_Job</vt:lpstr>
      <vt:lpstr>2_Pricing</vt:lpstr>
      <vt:lpstr>3_Value_Metric</vt:lpstr>
      <vt:lpstr>4_Channel_Fit</vt:lpstr>
      <vt:lpstr>5_90Day_Plan</vt:lpstr>
      <vt:lpstr>6_Benchmarks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Nguyen Quang  - ST CMCU</cp:lastModifiedBy>
  <dcterms:created xsi:type="dcterms:W3CDTF">2026-08-26T15:07:08Z</dcterms:created>
  <dcterms:modified xsi:type="dcterms:W3CDTF">2026-10-11T18:41:12Z</dcterms:modified>
</cp:coreProperties>
</file>